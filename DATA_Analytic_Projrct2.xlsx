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f039ae6e56251b/Desktop/"/>
    </mc:Choice>
  </mc:AlternateContent>
  <xr:revisionPtr revIDLastSave="0" documentId="8_{2CE57483-0EDE-4FBF-BF49-D406D9E08706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README" sheetId="1" r:id="rId1"/>
    <sheet name="Dataset" sheetId="2" r:id="rId2"/>
    <sheet name="Basic Statistics" sheetId="3" r:id="rId3"/>
    <sheet name="Outlier Summary" sheetId="4" r:id="rId4"/>
    <sheet name="Outliers" sheetId="5" r:id="rId5"/>
    <sheet name="Monthly Trend" sheetId="6" r:id="rId6"/>
    <sheet name="Category Analysis" sheetId="7" r:id="rId7"/>
    <sheet name="City Analysis" sheetId="8" r:id="rId8"/>
    <sheet name="Correlation" sheetId="9" r:id="rId9"/>
    <sheet name="Insights &amp; Recommendations" sheetId="10" r:id="rId10"/>
  </sheets>
  <calcPr calcId="191029" iterateDelta="1E-4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9" l="1"/>
  <c r="C6" i="9"/>
  <c r="B6" i="9"/>
  <c r="F3" i="9"/>
  <c r="C3" i="9"/>
  <c r="B3" i="9"/>
  <c r="F2" i="9"/>
  <c r="C2" i="9"/>
  <c r="B2" i="9"/>
  <c r="B7" i="8"/>
  <c r="B6" i="8"/>
  <c r="B5" i="8"/>
  <c r="B4" i="8"/>
  <c r="B3" i="8"/>
  <c r="B2" i="8"/>
  <c r="F4" i="7"/>
  <c r="B4" i="7"/>
  <c r="F3" i="7"/>
  <c r="B3" i="7"/>
  <c r="F2" i="7"/>
  <c r="B2" i="7"/>
  <c r="D13" i="6"/>
  <c r="D12" i="6"/>
  <c r="D11" i="6"/>
  <c r="D10" i="6"/>
  <c r="D9" i="6"/>
  <c r="D8" i="6"/>
  <c r="D7" i="6"/>
  <c r="D6" i="6"/>
  <c r="D5" i="6"/>
  <c r="D4" i="6"/>
  <c r="D3" i="6"/>
  <c r="D2" i="6"/>
  <c r="G6" i="3"/>
  <c r="F6" i="3"/>
  <c r="E6" i="3"/>
  <c r="D6" i="3"/>
  <c r="C6" i="3"/>
  <c r="B6" i="3"/>
  <c r="G3" i="3"/>
  <c r="F3" i="3"/>
  <c r="E3" i="3"/>
  <c r="D3" i="3"/>
  <c r="C3" i="3"/>
  <c r="B3" i="3"/>
  <c r="G2" i="3"/>
  <c r="F2" i="3"/>
  <c r="E2" i="3"/>
  <c r="D2" i="3"/>
  <c r="C2" i="3"/>
  <c r="B2" i="3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I10" i="2"/>
  <c r="I9" i="2"/>
  <c r="J9" i="2" s="1"/>
  <c r="I8" i="2"/>
  <c r="J8" i="2" s="1"/>
  <c r="I7" i="2"/>
  <c r="I6" i="2"/>
  <c r="J6" i="2" s="1"/>
  <c r="I5" i="2"/>
  <c r="J5" i="2" s="1"/>
  <c r="I4" i="2"/>
  <c r="I3" i="2"/>
  <c r="J3" i="2" s="1"/>
  <c r="I2" i="2"/>
  <c r="C2" i="8" l="1"/>
  <c r="C7" i="8"/>
  <c r="C2" i="7"/>
  <c r="B9" i="6"/>
  <c r="E3" i="7"/>
  <c r="B12" i="6"/>
  <c r="C3" i="8"/>
  <c r="B5" i="6"/>
  <c r="C5" i="8"/>
  <c r="D4" i="9"/>
  <c r="B3" i="6"/>
  <c r="B2" i="6"/>
  <c r="D3" i="9"/>
  <c r="C4" i="8"/>
  <c r="B13" i="6"/>
  <c r="E4" i="3"/>
  <c r="B6" i="6"/>
  <c r="C12" i="6"/>
  <c r="D5" i="8"/>
  <c r="C6" i="6"/>
  <c r="C8" i="6"/>
  <c r="D4" i="8"/>
  <c r="C13" i="6"/>
  <c r="C5" i="6"/>
  <c r="D2" i="9"/>
  <c r="F4" i="9"/>
  <c r="B10" i="6"/>
  <c r="F4" i="3"/>
  <c r="C9" i="6"/>
  <c r="J10" i="2"/>
  <c r="C10" i="6" s="1"/>
  <c r="C4" i="7"/>
  <c r="B2" i="4"/>
  <c r="J11" i="2"/>
  <c r="C11" i="6" s="1"/>
  <c r="C2" i="4"/>
  <c r="E4" i="7"/>
  <c r="B7" i="6"/>
  <c r="B11" i="6"/>
  <c r="E2" i="7"/>
  <c r="C3" i="7"/>
  <c r="B4" i="9"/>
  <c r="D6" i="9"/>
  <c r="J4" i="2"/>
  <c r="G4" i="3"/>
  <c r="C3" i="6"/>
  <c r="C6" i="8"/>
  <c r="J7" i="2"/>
  <c r="B4" i="3"/>
  <c r="B4" i="6"/>
  <c r="B8" i="6"/>
  <c r="J2" i="2"/>
  <c r="C4" i="3"/>
  <c r="D4" i="3"/>
  <c r="C4" i="9"/>
  <c r="D7" i="8" l="1"/>
  <c r="E6" i="9"/>
  <c r="C3" i="4"/>
  <c r="B3" i="4"/>
  <c r="D2" i="8"/>
  <c r="G5" i="3"/>
  <c r="F5" i="3"/>
  <c r="E3" i="9"/>
  <c r="F5" i="9"/>
  <c r="E5" i="9"/>
  <c r="E5" i="3"/>
  <c r="D2" i="7"/>
  <c r="D5" i="3"/>
  <c r="C2" i="6"/>
  <c r="C5" i="3"/>
  <c r="B5" i="3"/>
  <c r="D5" i="9"/>
  <c r="C5" i="9"/>
  <c r="B5" i="9"/>
  <c r="E2" i="9"/>
  <c r="E4" i="9"/>
  <c r="C7" i="6"/>
  <c r="D4" i="7"/>
  <c r="D2" i="4"/>
  <c r="E2" i="4" s="1"/>
  <c r="D3" i="8"/>
  <c r="D3" i="7"/>
  <c r="C4" i="6"/>
  <c r="D6" i="8"/>
  <c r="F2" i="4" l="1"/>
  <c r="G2" i="4" s="1"/>
  <c r="D3" i="4"/>
  <c r="E3" i="4" s="1"/>
  <c r="F3" i="4" l="1"/>
  <c r="G3" i="4"/>
</calcChain>
</file>

<file path=xl/sharedStrings.xml><?xml version="1.0" encoding="utf-8"?>
<sst xmlns="http://schemas.openxmlformats.org/spreadsheetml/2006/main" count="619" uniqueCount="240">
  <si>
    <t>DecodeLabs – Project 2: Exploratory Data Analysis (EDA)</t>
  </si>
  <si>
    <t>Project Goal</t>
  </si>
  <si>
    <t>Analyze a sales dataset to understand patterns, trends, distributions, outliers and relationships.</t>
  </si>
  <si>
    <t>Dataset</t>
  </si>
  <si>
    <t>120 synthetic retail orders across 6 different Indian cities, 3 different categories and 12 months. Unit_Price is included so Sales can be independently calculated.</t>
  </si>
  <si>
    <t>Basic Statistics</t>
  </si>
  <si>
    <t>Count, Mean, Median, Minimum, Maximum and Standard Deviation are provided in the Basic Statistics sheet.</t>
  </si>
  <si>
    <t>Outlier Method</t>
  </si>
  <si>
    <t>Sales = Unit_Price × Quantity × (1 − Discount%/100). Profit = Sales × Profit_Margin.</t>
  </si>
  <si>
    <t>Trend Analysis</t>
  </si>
  <si>
    <t>Monthly, category-wise and city-wise sales/profit summaries are included with charts. Categories, cities and products are distinct from the original project dataset.</t>
  </si>
  <si>
    <t>Correlation</t>
  </si>
  <si>
    <t>Pearson correlation is calculated for numeric variables.</t>
  </si>
  <si>
    <t>Key Insights</t>
  </si>
  <si>
    <t>Main observations and actionable recommendations are summarized in Insights &amp; Recommendations.</t>
  </si>
  <si>
    <t>Important Note</t>
  </si>
  <si>
    <t>Potential outliers are flagged for investigation; they are not automatically deleted.</t>
  </si>
  <si>
    <t>Project Alignment</t>
  </si>
  <si>
    <t>The workbook covers the PDF's mandatory EDA requirements: basic statistics, trends/outliers, and key observations.</t>
  </si>
  <si>
    <t>Formula note:</t>
  </si>
  <si>
    <t>Calculated sheets use Excel formulas so selecting a result cell shows the formula in the formula bar.</t>
  </si>
  <si>
    <t>Order_ID</t>
  </si>
  <si>
    <t>Order_Date</t>
  </si>
  <si>
    <t>City</t>
  </si>
  <si>
    <t>Category</t>
  </si>
  <si>
    <t>Product</t>
  </si>
  <si>
    <t>Unit_Price</t>
  </si>
  <si>
    <t>Quantity</t>
  </si>
  <si>
    <t>Discount_%</t>
  </si>
  <si>
    <t>Sales</t>
  </si>
  <si>
    <t>Profit</t>
  </si>
  <si>
    <t>Profit_Margin</t>
  </si>
  <si>
    <t>Customer_Rating</t>
  </si>
  <si>
    <t>ORD-2001</t>
  </si>
  <si>
    <t>Jaipur</t>
  </si>
  <si>
    <t>Home Decor</t>
  </si>
  <si>
    <t>Cushion Set</t>
  </si>
  <si>
    <t>ORD-2002</t>
  </si>
  <si>
    <t>Lucknow</t>
  </si>
  <si>
    <t>Wall Clock</t>
  </si>
  <si>
    <t>ORD-2003</t>
  </si>
  <si>
    <t>Nagpur</t>
  </si>
  <si>
    <t>Sports &amp; Fitness</t>
  </si>
  <si>
    <t>Resistance Band</t>
  </si>
  <si>
    <t>ORD-2004</t>
  </si>
  <si>
    <t>Fitness Ball</t>
  </si>
  <si>
    <t>ORD-2005</t>
  </si>
  <si>
    <t>ORD-2006</t>
  </si>
  <si>
    <t>Grocery</t>
  </si>
  <si>
    <t>Dry Fruits</t>
  </si>
  <si>
    <t>ORD-2007</t>
  </si>
  <si>
    <t>Kochi</t>
  </si>
  <si>
    <t>Breakfast Cereal</t>
  </si>
  <si>
    <t>ORD-2008</t>
  </si>
  <si>
    <t>Vadodara</t>
  </si>
  <si>
    <t>Yoga Mat</t>
  </si>
  <si>
    <t>ORD-2009</t>
  </si>
  <si>
    <t>ORD-2010</t>
  </si>
  <si>
    <t>ORD-2011</t>
  </si>
  <si>
    <t>Indore</t>
  </si>
  <si>
    <t>Dumbbell Set</t>
  </si>
  <si>
    <t>ORD-2012</t>
  </si>
  <si>
    <t>ORD-2013</t>
  </si>
  <si>
    <t>Pasta Pack</t>
  </si>
  <si>
    <t>ORD-2014</t>
  </si>
  <si>
    <t>Water Bottle</t>
  </si>
  <si>
    <t>ORD-2015</t>
  </si>
  <si>
    <t>ORD-2016</t>
  </si>
  <si>
    <t>ORD-2017</t>
  </si>
  <si>
    <t>ORD-2018</t>
  </si>
  <si>
    <t>ORD-2019</t>
  </si>
  <si>
    <t>Curtain Set</t>
  </si>
  <si>
    <t>ORD-2020</t>
  </si>
  <si>
    <t>Skipping Rope</t>
  </si>
  <si>
    <t>ORD-2021</t>
  </si>
  <si>
    <t>ORD-2022</t>
  </si>
  <si>
    <t>ORD-2023</t>
  </si>
  <si>
    <t>ORD-2024</t>
  </si>
  <si>
    <t>ORD-2025</t>
  </si>
  <si>
    <t>ORD-2026</t>
  </si>
  <si>
    <t>Floor Mat</t>
  </si>
  <si>
    <t>ORD-2027</t>
  </si>
  <si>
    <t>ORD-2028</t>
  </si>
  <si>
    <t>ORD-2029</t>
  </si>
  <si>
    <t>ORD-2030</t>
  </si>
  <si>
    <t>Olive Oil</t>
  </si>
  <si>
    <t>ORD-2031</t>
  </si>
  <si>
    <t>ORD-2032</t>
  </si>
  <si>
    <t>ORD-2033</t>
  </si>
  <si>
    <t>ORD-2034</t>
  </si>
  <si>
    <t>ORD-2035</t>
  </si>
  <si>
    <t>Table Lamp</t>
  </si>
  <si>
    <t>ORD-2036</t>
  </si>
  <si>
    <t>ORD-2037</t>
  </si>
  <si>
    <t>Vase</t>
  </si>
  <si>
    <t>ORD-2038</t>
  </si>
  <si>
    <t>ORD-2039</t>
  </si>
  <si>
    <t>ORD-2040</t>
  </si>
  <si>
    <t>ORD-2041</t>
  </si>
  <si>
    <t>ORD-2042</t>
  </si>
  <si>
    <t>ORD-2043</t>
  </si>
  <si>
    <t>Green Tea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</si>
  <si>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</si>
  <si>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</si>
  <si>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</si>
  <si>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</si>
  <si>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</si>
  <si>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</si>
  <si>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</si>
  <si>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</si>
  <si>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</si>
  <si>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</si>
  <si>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</si>
  <si>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</si>
  <si>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</si>
  <si>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</si>
  <si>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</si>
  <si>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</si>
  <si>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</si>
  <si>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</si>
  <si>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</si>
  <si>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</si>
  <si>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</si>
  <si>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</si>
  <si>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</si>
  <si>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</si>
  <si>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</si>
  <si>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</si>
  <si>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</si>
  <si>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</si>
  <si>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</si>
  <si>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</si>
  <si>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</si>
  <si>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</si>
  <si>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</si>
  <si>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</si>
  <si>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</si>
  <si>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Coffee Pack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</si>
  <si>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</si>
  <si>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</si>
  <si>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</si>
  <si>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</si>
  <si>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</si>
  <si>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</si>
  <si>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</si>
  <si>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</si>
  <si>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</si>
  <si>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</si>
  <si>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</si>
  <si>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</si>
  <si>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</si>
  <si>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</si>
  <si>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</si>
  <si>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</si>
  <si>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</si>
  <si>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</si>
  <si>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</si>
  <si>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</si>
  <si>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</si>
  <si>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</si>
  <si>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</si>
  <si>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</si>
  <si>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</si>
  <si>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</si>
  <si>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</si>
  <si>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</si>
  <si>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</si>
  <si>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</si>
  <si>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</si>
  <si>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</si>
  <si>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</si>
  <si>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</si>
  <si>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</si>
  <si>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</si>
  <si>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</si>
  <si>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</si>
  <si>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</si>
  <si>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</si>
  <si>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</si>
  <si>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</si>
  <si>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Metric</t>
  </si>
  <si>
    <t>Count</t>
  </si>
  <si>
    <t>Mean</t>
  </si>
  <si>
    <t>Median</t>
  </si>
  <si>
    <t>Minimum</t>
  </si>
  <si>
    <t>Maximum</t>
  </si>
  <si>
    <t>Std_Dev</t>
  </si>
  <si>
    <t>Variable</t>
  </si>
  <si>
    <t>Q1</t>
  </si>
  <si>
    <t>Q3</t>
  </si>
  <si>
    <t>IQR</t>
  </si>
  <si>
    <t>Lower_Bound</t>
  </si>
  <si>
    <t>Upper_Bound</t>
  </si>
  <si>
    <t>Outlier_Count</t>
  </si>
  <si>
    <t>Value</t>
  </si>
  <si>
    <t>Reason</t>
  </si>
  <si>
    <t>Above upper limit</t>
  </si>
  <si>
    <t>Month</t>
  </si>
  <si>
    <t>Total_Sales</t>
  </si>
  <si>
    <t>Total_Profit</t>
  </si>
  <si>
    <t>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</si>
  <si>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</si>
  <si>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</si>
  <si>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</si>
  <si>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</si>
  <si>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</si>
  <si>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</si>
  <si>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</si>
  <si>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</si>
  <si>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</si>
  <si>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</si>
  <si>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</si>
  <si>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</si>
  <si>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Avg_Sales</t>
  </si>
  <si>
    <t>Avg_Rating</t>
  </si>
  <si>
    <t>DECODELABS – DATA ANALYTICS</t>
  </si>
  <si>
    <t>PROJECT 2: EXPLORATORY DATA ANALYSIS (EDA)</t>
  </si>
  <si>
    <t>INSIGHTS &amp; RECOMMENDATIONS</t>
  </si>
  <si>
    <t>No.</t>
  </si>
  <si>
    <t>Key Observation</t>
  </si>
  <si>
    <t>1</t>
  </si>
  <si>
    <t>Sports &amp; Fitness generates the highest total sales among the three categories.</t>
  </si>
  <si>
    <t>2</t>
  </si>
  <si>
    <t>Vadodara records the highest total sales among the six cities in this dataset.</t>
  </si>
  <si>
    <t>3</t>
  </si>
  <si>
    <t>Aug is the strongest month by total sales.</t>
  </si>
  <si>
    <t>4</t>
  </si>
  <si>
    <t>Average order sales are ₹17,590.53, while median order sales are ₹10,178.51; the difference indicates that some higher-value orders influence the average.</t>
  </si>
  <si>
    <t>5</t>
  </si>
  <si>
    <t>IQR analysis identifies 2 potential outlier observations across Sales and Profit. These should be investigated rather than automatically removed.</t>
  </si>
  <si>
    <t>6</t>
  </si>
  <si>
    <t>Sales and Profit show a strong positive relationship (correlation ≈ 0.93).</t>
  </si>
  <si>
    <t>7</t>
  </si>
  <si>
    <t>Discount percentage should be monitored because higher discounts can reduce the profit earned from individual orders.</t>
  </si>
  <si>
    <t>Recommendation</t>
  </si>
  <si>
    <t>Prioritize the strongest-performing category (Sports &amp; Fitness) while improving visibility and offers for the other categories.</t>
  </si>
  <si>
    <t>Study the sales drivers in Vadodara and test whether successful practices can be applied to the other cities.</t>
  </si>
  <si>
    <t>Review the factors behind the Aug sales peak and evaluate whether similar campaigns or demand patterns can be repeated.</t>
  </si>
  <si>
    <t>Investigate high-value outliers individually to distinguish genuine large orders from possible data-entry issues.</t>
  </si>
  <si>
    <t>Track discount levels alongside profit, not sales alone, before deciding on future promotions.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</si>
</sst>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₹#,##0.00"/>
    <numFmt numFmtId="166" formatCode="0\%"/>
    <numFmt numFmtId="167" formatCode="0.0%"/>
    <numFmt numFmtId="168" formatCode="0.0"/>
  </numFmts>
  <fonts count="6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/>
    <xf numFmtId="166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7" fontId="0" fillId="0" borderId="0" xfId="0" applyNumberFormat="1"/>
    <xf numFmtId="168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2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IN" sz="1800" b="1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Trend'!$B$2:$B$13</c:f>
              <c:numCache>
                <c:formatCode>\₹#,##0.00</c:formatCode>
                <c:ptCount val="12"/>
                <c:pt idx="0">
                  <c:v>112703.29000000002</c:v>
                </c:pt>
                <c:pt idx="1">
                  <c:v>102841.87</c:v>
                </c:pt>
                <c:pt idx="2">
                  <c:v>169393.91000000003</c:v>
                </c:pt>
                <c:pt idx="3">
                  <c:v>184867.88999999998</c:v>
                </c:pt>
                <c:pt idx="4">
                  <c:v>236490.88999999998</c:v>
                </c:pt>
                <c:pt idx="5">
                  <c:v>62313.470000000008</c:v>
                </c:pt>
                <c:pt idx="6">
                  <c:v>134879.75999999998</c:v>
                </c:pt>
                <c:pt idx="7">
                  <c:v>278884.46000000002</c:v>
                </c:pt>
                <c:pt idx="8">
                  <c:v>215608.97999999998</c:v>
                </c:pt>
                <c:pt idx="9">
                  <c:v>190640.23</c:v>
                </c:pt>
                <c:pt idx="10">
                  <c:v>202287.55</c:v>
                </c:pt>
                <c:pt idx="11">
                  <c:v>219951.03000000003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B6-4481-BEDA-DB7014D4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3125569"/>
        <c:axId val="31746552"/>
      </c:lineChart>
      <c:catAx>
        <c:axId val="731255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IN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1746552"/>
        <c:crosses val="autoZero"/>
        <c:auto val="1"/>
        <c:lblAlgn val="ctr"/>
        <c:lblOffset val="100"/>
        <c:noMultiLvlLbl val="0"/>
      </c:catAx>
      <c:valAx>
        <c:axId val="31746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IN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312556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'Category Analysis'!$A$2:$A$4</c:f>
              <c:strCache>
                <c:ptCount val="3"/>
                <c:pt idx="0">
                  <c:v>Home Decor</c:v>
                </c:pt>
                <c:pt idx="1">
                  <c:v>Sports &amp; Fitness</c:v>
                </c:pt>
                <c:pt idx="2">
                  <c:v>Grocery</c:v>
                </c:pt>
              </c:strCache>
            </c:strRef>
          </c:cat>
          <c:val>
            <c:numRef>
              <c:f>'Category Analysis'!$C$2:$C$4</c:f>
              <c:numCache>
                <c:formatCode>\₹#,##0.00</c:formatCode>
                <c:ptCount val="3"/>
                <c:pt idx="0">
                  <c:v>922403.20000000019</c:v>
                </c:pt>
                <c:pt idx="1">
                  <c:v>988916.47999999986</c:v>
                </c:pt>
                <c:pt idx="2">
                  <c:v>199543.64999999997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1-4B8B-AE02-4665F13D5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205175"/>
        <c:axId val="67237794"/>
      </c:barChart>
      <c:catAx>
        <c:axId val="94205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7237794"/>
        <c:crosses val="autoZero"/>
        <c:auto val="1"/>
        <c:lblAlgn val="ctr"/>
        <c:lblOffset val="100"/>
        <c:noMultiLvlLbl val="0"/>
      </c:catAx>
      <c:valAx>
        <c:axId val="67237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IN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20517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Analysis'!$C$1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'City Analysis'!$A$2:$A$7</c:f>
              <c:strCache>
                <c:ptCount val="6"/>
                <c:pt idx="0">
                  <c:v>Jaipur</c:v>
                </c:pt>
                <c:pt idx="1">
                  <c:v>Lucknow</c:v>
                </c:pt>
                <c:pt idx="2">
                  <c:v>Kochi</c:v>
                </c:pt>
                <c:pt idx="3">
                  <c:v>Indore</c:v>
                </c:pt>
                <c:pt idx="4">
                  <c:v>Nagpur</c:v>
                </c:pt>
                <c:pt idx="5">
                  <c:v>Vadodara</c:v>
                </c:pt>
              </c:strCache>
            </c:strRef>
          </c:cat>
          <c:val>
            <c:numRef>
              <c:f>'City Analysis'!$C$2:$C$7</c:f>
              <c:numCache>
                <c:formatCode>\₹#,##0.00</c:formatCode>
                <c:ptCount val="6"/>
                <c:pt idx="0">
                  <c:v>309872.95000000007</c:v>
                </c:pt>
                <c:pt idx="1">
                  <c:v>350945.17</c:v>
                </c:pt>
                <c:pt idx="2">
                  <c:v>351543.08</c:v>
                </c:pt>
                <c:pt idx="3">
                  <c:v>210841.26</c:v>
                </c:pt>
                <c:pt idx="4">
                  <c:v>321216.54999999993</c:v>
                </c:pt>
                <c:pt idx="5">
                  <c:v>566444.32000000018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4-44F2-B2B7-4AE2199B1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56151"/>
        <c:axId val="23013241"/>
      </c:barChart>
      <c:catAx>
        <c:axId val="959561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013241"/>
        <c:crosses val="autoZero"/>
        <c:auto val="1"/>
        <c:lblAlgn val="ctr"/>
        <c:lblOffset val="100"/>
        <c:noMultiLvlLbl val="0"/>
      </c:catAx>
      <c:valAx>
        <c:axId val="23013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IN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₹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595615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14</xdr:col>
      <xdr:colOff>255600</xdr:colOff>
      <xdr:row>16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255600</xdr:colOff>
      <xdr:row>16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14</xdr:col>
      <xdr:colOff>255600</xdr:colOff>
      <xdr:row>16</xdr:row>
      <xdr:rowOff>21600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zoomScaleNormal="100" workbookViewId="0">
      <selection activeCell="C1" sqref="C1"/>
    </sheetView>
  </sheetViews>
  <sheetFormatPr defaultColWidth="8.6640625" defaultRowHeight="15" customHeight="1" x14ac:dyDescent="0.3"/>
  <cols>
    <col min="1" max="1" width="24" customWidth="1"/>
    <col min="2" max="2" width="100" customWidth="1"/>
  </cols>
  <sheetData>
    <row r="1" spans="1:2" ht="19.5" customHeight="1" x14ac:dyDescent="0.35">
      <c r="A1" s="17" t="s">
        <v>0</v>
      </c>
      <c r="B1" s="15"/>
    </row>
    <row r="3" spans="1:2" ht="15" customHeight="1" x14ac:dyDescent="0.3">
      <c r="A3" s="1" t="s">
        <v>1</v>
      </c>
      <c r="B3" s="2" t="s">
        <v>2</v>
      </c>
    </row>
    <row r="4" spans="1:2" ht="27.75" customHeight="1" x14ac:dyDescent="0.3">
      <c r="A4" s="1" t="s">
        <v>3</v>
      </c>
      <c r="B4" s="2" t="s">
        <v>4</v>
      </c>
    </row>
    <row r="5" spans="1:2" ht="15" customHeight="1" x14ac:dyDescent="0.3">
      <c r="A5" s="1" t="s">
        <v>5</v>
      </c>
      <c r="B5" s="2" t="s">
        <v>6</v>
      </c>
    </row>
    <row r="6" spans="1:2" ht="15" customHeight="1" x14ac:dyDescent="0.3">
      <c r="A6" s="1" t="s">
        <v>7</v>
      </c>
      <c r="B6" s="2" t="s">
        <v>8</v>
      </c>
    </row>
    <row r="7" spans="1:2" ht="15" customHeight="1" x14ac:dyDescent="0.3">
      <c r="A7" s="1" t="s">
        <v>9</v>
      </c>
      <c r="B7" s="2" t="s">
        <v>10</v>
      </c>
    </row>
    <row r="8" spans="1:2" ht="15" customHeight="1" x14ac:dyDescent="0.3">
      <c r="A8" s="1" t="s">
        <v>11</v>
      </c>
      <c r="B8" s="2" t="s">
        <v>12</v>
      </c>
    </row>
    <row r="9" spans="1:2" ht="15" customHeight="1" x14ac:dyDescent="0.3">
      <c r="A9" s="1" t="s">
        <v>13</v>
      </c>
      <c r="B9" s="2" t="s">
        <v>14</v>
      </c>
    </row>
    <row r="10" spans="1:2" ht="15" customHeight="1" x14ac:dyDescent="0.3">
      <c r="A10" s="1" t="s">
        <v>15</v>
      </c>
      <c r="B10" s="2" t="s">
        <v>16</v>
      </c>
    </row>
    <row r="11" spans="1:2" ht="15" customHeight="1" x14ac:dyDescent="0.3">
      <c r="A11" s="1" t="s">
        <v>17</v>
      </c>
      <c r="B11" s="2" t="s">
        <v>18</v>
      </c>
    </row>
    <row r="13" spans="1:2" ht="15" customHeight="1" x14ac:dyDescent="0.3">
      <c r="A13" t="s">
        <v>19</v>
      </c>
      <c r="B13" t="s">
        <v>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2"/>
  <sheetViews>
    <sheetView topLeftCell="C1" zoomScale="115" zoomScaleNormal="115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28" customWidth="1"/>
    <col min="3" max="3" width="12" customWidth="1"/>
    <col min="4" max="4" width="17" customWidth="1"/>
    <col min="5" max="5" width="15" customWidth="1"/>
    <col min="6" max="9" width="12" customWidth="1"/>
    <col min="10" max="10" width="17" customWidth="1"/>
  </cols>
  <sheetData>
    <row r="1" spans="1:12" ht="15" customHeight="1" x14ac:dyDescent="0.3">
      <c r="A1" s="3" t="s">
        <v>22</v>
      </c>
      <c r="B1" s="3" t="s">
        <v>23</v>
      </c>
      <c r="C1" s="3" t="s">
        <v>24</v>
      </c>
      <c r="D1" s="3" t="s">
        <v>25</v>
      </c>
      <c r="E1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t="s">
        <v>31</v>
      </c>
      <c r="K1" s="3" t="s">
        <v>32</v>
      </c>
    </row>
    <row r="2" spans="1:12" ht="15" customHeight="1" x14ac:dyDescent="0.3">
      <c r="A2" s="4" t="s">
        <v>33</v>
      </c>
      <c r="B2" s="5">
        <v>45658</v>
      </c>
      <c r="C2" s="4" t="s">
        <v>34</v>
      </c>
      <c r="D2" s="4" t="s">
        <v>35</v>
      </c>
      <c r="E2" s="4" t="s">
        <v>36</v>
      </c>
      <c r="F2" s="6">
        <v>1440.42</v>
      </c>
      <c r="G2" s="4">
        <v>6</v>
      </c>
      <c r="H2" s="7">
        <v>10</v>
      </c>
      <c r="I2" s="8">
        <f t="shared" ref="I2:I33" si="0">ROUND(F2*G2*(1-H2/100),2)</f>
        <v>7778.27</v>
      </c>
      <c r="J2" s="8">
        <f t="shared" ref="J2:J33" si="1">ROUND(I2*K2,2)</f>
        <v>1815.45</v>
      </c>
      <c r="K2" s="9">
        <v>0.2334</v>
      </c>
      <c r="L2" s="10">
        <v>4.8</v>
      </c>
    </row>
    <row r="3" spans="1:12" ht="15" customHeight="1" x14ac:dyDescent="0.3">
      <c r="A3" s="4" t="s">
        <v>37</v>
      </c>
      <c r="B3" s="5">
        <v>45690</v>
      </c>
      <c r="C3" s="4" t="s">
        <v>38</v>
      </c>
      <c r="D3" s="4" t="s">
        <v>35</v>
      </c>
      <c r="E3" s="4" t="s">
        <v>39</v>
      </c>
      <c r="F3" s="6">
        <v>4790.01</v>
      </c>
      <c r="G3" s="4">
        <v>7</v>
      </c>
      <c r="H3" s="7">
        <v>10</v>
      </c>
      <c r="I3" s="8">
        <f t="shared" si="0"/>
        <v>30177.06</v>
      </c>
      <c r="J3" s="8">
        <f t="shared" si="1"/>
        <v>6744.57</v>
      </c>
      <c r="K3" s="9">
        <v>0.2235</v>
      </c>
      <c r="L3" s="10">
        <v>4.8</v>
      </c>
    </row>
    <row r="4" spans="1:12" ht="15" customHeight="1" x14ac:dyDescent="0.3">
      <c r="A4" s="4" t="s">
        <v>40</v>
      </c>
      <c r="B4" s="5">
        <v>45719</v>
      </c>
      <c r="C4" s="4" t="s">
        <v>41</v>
      </c>
      <c r="D4" s="4" t="s">
        <v>42</v>
      </c>
      <c r="E4" s="4" t="s">
        <v>43</v>
      </c>
      <c r="F4" s="6">
        <v>1246.78</v>
      </c>
      <c r="G4" s="4">
        <v>5</v>
      </c>
      <c r="H4" s="7">
        <v>0</v>
      </c>
      <c r="I4" s="8">
        <f t="shared" si="0"/>
        <v>6233.9</v>
      </c>
      <c r="J4" s="8">
        <f t="shared" si="1"/>
        <v>1024.23</v>
      </c>
      <c r="K4" s="9">
        <v>0.1643</v>
      </c>
      <c r="L4" s="10">
        <v>4.2</v>
      </c>
    </row>
    <row r="5" spans="1:12" ht="15" customHeight="1" x14ac:dyDescent="0.3">
      <c r="A5" s="4" t="s">
        <v>44</v>
      </c>
      <c r="B5" s="5">
        <v>45751</v>
      </c>
      <c r="C5" s="4" t="s">
        <v>41</v>
      </c>
      <c r="D5" s="4" t="s">
        <v>42</v>
      </c>
      <c r="E5" s="4" t="s">
        <v>45</v>
      </c>
      <c r="F5" s="6">
        <v>6459.84</v>
      </c>
      <c r="G5" s="4">
        <v>10</v>
      </c>
      <c r="H5" s="7">
        <v>5</v>
      </c>
      <c r="I5" s="8">
        <f t="shared" si="0"/>
        <v>61368.480000000003</v>
      </c>
      <c r="J5" s="8">
        <f t="shared" si="1"/>
        <v>12813.74</v>
      </c>
      <c r="K5" s="9">
        <v>0.20880000000000001</v>
      </c>
      <c r="L5" s="10">
        <v>4.7</v>
      </c>
    </row>
    <row r="6" spans="1:12" ht="15" customHeight="1" x14ac:dyDescent="0.3">
      <c r="A6" s="4" t="s">
        <v>46</v>
      </c>
      <c r="B6" s="5">
        <v>45782</v>
      </c>
      <c r="C6" s="4" t="s">
        <v>34</v>
      </c>
      <c r="D6" s="4" t="s">
        <v>42</v>
      </c>
      <c r="E6" s="4" t="s">
        <v>43</v>
      </c>
      <c r="F6" s="6">
        <v>711.97</v>
      </c>
      <c r="G6" s="4">
        <v>5</v>
      </c>
      <c r="H6" s="7">
        <v>15</v>
      </c>
      <c r="I6" s="8">
        <f t="shared" si="0"/>
        <v>3025.87</v>
      </c>
      <c r="J6" s="8">
        <f t="shared" si="1"/>
        <v>494.73</v>
      </c>
      <c r="K6" s="9">
        <v>0.16350000000000001</v>
      </c>
      <c r="L6" s="10">
        <v>4.2</v>
      </c>
    </row>
    <row r="7" spans="1:12" ht="15" customHeight="1" x14ac:dyDescent="0.3">
      <c r="A7" s="4" t="s">
        <v>47</v>
      </c>
      <c r="B7" s="5">
        <v>45814</v>
      </c>
      <c r="C7" s="4" t="s">
        <v>38</v>
      </c>
      <c r="D7" s="4" t="s">
        <v>48</v>
      </c>
      <c r="E7" s="4" t="s">
        <v>49</v>
      </c>
      <c r="F7" s="6">
        <v>3024.7</v>
      </c>
      <c r="G7" s="4">
        <v>8</v>
      </c>
      <c r="H7" s="7">
        <v>5</v>
      </c>
      <c r="I7" s="8">
        <f t="shared" si="0"/>
        <v>22987.72</v>
      </c>
      <c r="J7" s="8">
        <f t="shared" si="1"/>
        <v>6820.46</v>
      </c>
      <c r="K7" s="9">
        <v>0.29670000000000002</v>
      </c>
      <c r="L7" s="10">
        <v>4.8</v>
      </c>
    </row>
    <row r="8" spans="1:12" ht="15" customHeight="1" x14ac:dyDescent="0.3">
      <c r="A8" s="4" t="s">
        <v>50</v>
      </c>
      <c r="B8" s="5">
        <v>45845</v>
      </c>
      <c r="C8" s="4" t="s">
        <v>51</v>
      </c>
      <c r="D8" s="4" t="s">
        <v>48</v>
      </c>
      <c r="E8" s="4" t="s">
        <v>52</v>
      </c>
      <c r="F8" s="6">
        <v>242.82</v>
      </c>
      <c r="G8" s="4">
        <v>7</v>
      </c>
      <c r="H8" s="7">
        <v>5</v>
      </c>
      <c r="I8" s="8">
        <f t="shared" si="0"/>
        <v>1614.75</v>
      </c>
      <c r="J8" s="8">
        <f t="shared" si="1"/>
        <v>442.76</v>
      </c>
      <c r="K8" s="9">
        <v>0.2742</v>
      </c>
      <c r="L8" s="10">
        <v>4.9000000000000004</v>
      </c>
    </row>
    <row r="9" spans="1:12" ht="15" customHeight="1" x14ac:dyDescent="0.3">
      <c r="A9" s="4" t="s">
        <v>53</v>
      </c>
      <c r="B9" s="5">
        <v>45877</v>
      </c>
      <c r="C9" s="4" t="s">
        <v>54</v>
      </c>
      <c r="D9" s="4" t="s">
        <v>42</v>
      </c>
      <c r="E9" s="4" t="s">
        <v>55</v>
      </c>
      <c r="F9" s="6">
        <v>5383.86</v>
      </c>
      <c r="G9" s="4">
        <v>9</v>
      </c>
      <c r="H9" s="7">
        <v>5</v>
      </c>
      <c r="I9" s="8">
        <f t="shared" si="0"/>
        <v>46032</v>
      </c>
      <c r="J9" s="8">
        <f t="shared" si="1"/>
        <v>8534.33</v>
      </c>
      <c r="K9" s="9">
        <v>0.18540000000000001</v>
      </c>
      <c r="L9" s="10">
        <v>3.9</v>
      </c>
    </row>
    <row r="10" spans="1:12" ht="15" customHeight="1" x14ac:dyDescent="0.3">
      <c r="A10" s="4" t="s">
        <v>56</v>
      </c>
      <c r="B10" s="5">
        <v>45909</v>
      </c>
      <c r="C10" s="4" t="s">
        <v>54</v>
      </c>
      <c r="D10" s="4" t="s">
        <v>35</v>
      </c>
      <c r="E10" s="4" t="s">
        <v>39</v>
      </c>
      <c r="F10" s="6">
        <v>5304.62</v>
      </c>
      <c r="G10" s="4">
        <v>5</v>
      </c>
      <c r="H10" s="7">
        <v>10</v>
      </c>
      <c r="I10" s="8">
        <f t="shared" si="0"/>
        <v>23870.79</v>
      </c>
      <c r="J10" s="8">
        <f t="shared" si="1"/>
        <v>3482.75</v>
      </c>
      <c r="K10" s="9">
        <v>0.1459</v>
      </c>
      <c r="L10" s="10">
        <v>4</v>
      </c>
    </row>
    <row r="11" spans="1:12" ht="15" customHeight="1" x14ac:dyDescent="0.3">
      <c r="A11" s="4" t="s">
        <v>57</v>
      </c>
      <c r="B11" s="5">
        <v>45940</v>
      </c>
      <c r="C11" s="4" t="s">
        <v>34</v>
      </c>
      <c r="D11" s="4" t="s">
        <v>35</v>
      </c>
      <c r="E11" s="4" t="s">
        <v>36</v>
      </c>
      <c r="F11" s="6">
        <v>4274.28</v>
      </c>
      <c r="G11" s="4">
        <v>9</v>
      </c>
      <c r="H11" s="7">
        <v>15</v>
      </c>
      <c r="I11" s="8">
        <f t="shared" si="0"/>
        <v>32698.240000000002</v>
      </c>
      <c r="J11" s="8">
        <f t="shared" si="1"/>
        <v>8723.89</v>
      </c>
      <c r="K11" s="9">
        <v>0.26679999999999998</v>
      </c>
      <c r="L11" s="10">
        <v>4</v>
      </c>
    </row>
    <row r="12" spans="1:12" ht="15" customHeight="1" x14ac:dyDescent="0.3">
      <c r="A12" s="4" t="s">
        <v>58</v>
      </c>
      <c r="B12" s="5">
        <v>45972</v>
      </c>
      <c r="C12" s="4" t="s">
        <v>59</v>
      </c>
      <c r="D12" s="4" t="s">
        <v>42</v>
      </c>
      <c r="E12" s="4" t="s">
        <v>60</v>
      </c>
      <c r="F12" s="6">
        <v>694.14</v>
      </c>
      <c r="G12" s="4">
        <v>9</v>
      </c>
      <c r="H12" s="7">
        <v>0</v>
      </c>
      <c r="I12" s="8">
        <f t="shared" si="0"/>
        <v>6247.26</v>
      </c>
      <c r="J12" s="8">
        <f t="shared" si="1"/>
        <v>786.53</v>
      </c>
      <c r="K12" s="9">
        <v>0.12590000000000001</v>
      </c>
      <c r="L12" s="10">
        <v>4.0999999999999996</v>
      </c>
    </row>
    <row r="13" spans="1:12" ht="15" customHeight="1" x14ac:dyDescent="0.3">
      <c r="A13" s="4" t="s">
        <v>61</v>
      </c>
      <c r="B13" s="5">
        <v>46003</v>
      </c>
      <c r="C13" s="4" t="s">
        <v>51</v>
      </c>
      <c r="D13" s="4" t="s">
        <v>48</v>
      </c>
      <c r="E13" s="4" t="s">
        <v>52</v>
      </c>
      <c r="F13" s="6">
        <v>773.77</v>
      </c>
      <c r="G13" s="4">
        <v>6</v>
      </c>
      <c r="H13" s="7">
        <v>15</v>
      </c>
      <c r="I13" s="8">
        <f t="shared" si="0"/>
        <v>3946.23</v>
      </c>
      <c r="J13" s="8">
        <f t="shared" si="1"/>
        <v>630.61</v>
      </c>
      <c r="K13" s="9">
        <v>0.1598</v>
      </c>
      <c r="L13" s="10">
        <v>4.3</v>
      </c>
    </row>
    <row r="14" spans="1:12" ht="15" customHeight="1" x14ac:dyDescent="0.3">
      <c r="A14" s="4" t="s">
        <v>62</v>
      </c>
      <c r="B14" s="5">
        <v>45670</v>
      </c>
      <c r="C14" s="4" t="s">
        <v>51</v>
      </c>
      <c r="D14" s="4" t="s">
        <v>48</v>
      </c>
      <c r="E14" s="4" t="s">
        <v>63</v>
      </c>
      <c r="F14" s="6">
        <v>825.3</v>
      </c>
      <c r="G14" s="4">
        <v>4</v>
      </c>
      <c r="H14" s="7">
        <v>5</v>
      </c>
      <c r="I14" s="8">
        <f t="shared" si="0"/>
        <v>3136.14</v>
      </c>
      <c r="J14" s="8">
        <f t="shared" si="1"/>
        <v>599.94000000000005</v>
      </c>
      <c r="K14" s="9">
        <v>0.1913</v>
      </c>
      <c r="L14" s="10">
        <v>4.7</v>
      </c>
    </row>
    <row r="15" spans="1:12" ht="15" customHeight="1" x14ac:dyDescent="0.3">
      <c r="A15" s="4" t="s">
        <v>64</v>
      </c>
      <c r="B15" s="5">
        <v>45702</v>
      </c>
      <c r="C15" s="4" t="s">
        <v>59</v>
      </c>
      <c r="D15" s="4" t="s">
        <v>42</v>
      </c>
      <c r="E15" s="4" t="s">
        <v>65</v>
      </c>
      <c r="F15" s="6">
        <v>1297.18</v>
      </c>
      <c r="G15" s="4">
        <v>10</v>
      </c>
      <c r="H15" s="7">
        <v>15</v>
      </c>
      <c r="I15" s="8">
        <f t="shared" si="0"/>
        <v>11026.03</v>
      </c>
      <c r="J15" s="8">
        <f t="shared" si="1"/>
        <v>2000.12</v>
      </c>
      <c r="K15" s="9">
        <v>0.18140000000000001</v>
      </c>
      <c r="L15" s="10">
        <v>4</v>
      </c>
    </row>
    <row r="16" spans="1:12" ht="15" customHeight="1" x14ac:dyDescent="0.3">
      <c r="A16" s="4" t="s">
        <v>66</v>
      </c>
      <c r="B16" s="5">
        <v>45731</v>
      </c>
      <c r="C16" s="4" t="s">
        <v>59</v>
      </c>
      <c r="D16" s="4" t="s">
        <v>35</v>
      </c>
      <c r="E16" s="4" t="s">
        <v>36</v>
      </c>
      <c r="F16" s="6">
        <v>690.45</v>
      </c>
      <c r="G16" s="4">
        <v>8</v>
      </c>
      <c r="H16" s="7">
        <v>10</v>
      </c>
      <c r="I16" s="8">
        <f t="shared" si="0"/>
        <v>4971.24</v>
      </c>
      <c r="J16" s="8">
        <f t="shared" si="1"/>
        <v>659.68</v>
      </c>
      <c r="K16" s="9">
        <v>0.13270000000000001</v>
      </c>
      <c r="L16" s="10">
        <v>4.5999999999999996</v>
      </c>
    </row>
    <row r="17" spans="1:12" ht="15" customHeight="1" x14ac:dyDescent="0.3">
      <c r="A17" s="4" t="s">
        <v>67</v>
      </c>
      <c r="B17" s="5">
        <v>45763</v>
      </c>
      <c r="C17" s="4" t="s">
        <v>38</v>
      </c>
      <c r="D17" s="4" t="s">
        <v>48</v>
      </c>
      <c r="E17" s="4" t="s">
        <v>49</v>
      </c>
      <c r="F17" s="6">
        <v>2828.11</v>
      </c>
      <c r="G17" s="4">
        <v>3</v>
      </c>
      <c r="H17" s="7">
        <v>10</v>
      </c>
      <c r="I17" s="8">
        <f t="shared" si="0"/>
        <v>7635.9</v>
      </c>
      <c r="J17" s="8">
        <f t="shared" si="1"/>
        <v>1078.95</v>
      </c>
      <c r="K17" s="9">
        <v>0.14130000000000001</v>
      </c>
      <c r="L17" s="10">
        <v>4</v>
      </c>
    </row>
    <row r="18" spans="1:12" ht="15" customHeight="1" x14ac:dyDescent="0.3">
      <c r="A18" s="4" t="s">
        <v>68</v>
      </c>
      <c r="B18" s="5">
        <v>45794</v>
      </c>
      <c r="C18" s="4" t="s">
        <v>41</v>
      </c>
      <c r="D18" s="4" t="s">
        <v>42</v>
      </c>
      <c r="E18" s="4" t="s">
        <v>43</v>
      </c>
      <c r="F18" s="6">
        <v>5867.55</v>
      </c>
      <c r="G18" s="4">
        <v>9</v>
      </c>
      <c r="H18" s="7">
        <v>0</v>
      </c>
      <c r="I18" s="8">
        <f t="shared" si="0"/>
        <v>52807.95</v>
      </c>
      <c r="J18" s="8">
        <f t="shared" si="1"/>
        <v>15821.26</v>
      </c>
      <c r="K18" s="9">
        <v>0.29959999999999998</v>
      </c>
      <c r="L18" s="10">
        <v>4.5</v>
      </c>
    </row>
    <row r="19" spans="1:12" ht="15" customHeight="1" x14ac:dyDescent="0.3">
      <c r="A19" s="4" t="s">
        <v>69</v>
      </c>
      <c r="B19" s="5">
        <v>45826</v>
      </c>
      <c r="C19" s="4" t="s">
        <v>34</v>
      </c>
      <c r="D19" s="4" t="s">
        <v>42</v>
      </c>
      <c r="E19" s="4" t="s">
        <v>43</v>
      </c>
      <c r="F19" s="6">
        <v>4785.4799999999996</v>
      </c>
      <c r="G19" s="4">
        <v>1</v>
      </c>
      <c r="H19" s="7">
        <v>5</v>
      </c>
      <c r="I19" s="8">
        <f t="shared" si="0"/>
        <v>4546.21</v>
      </c>
      <c r="J19" s="8">
        <f t="shared" si="1"/>
        <v>834.68</v>
      </c>
      <c r="K19" s="9">
        <v>0.18360000000000001</v>
      </c>
      <c r="L19" s="10">
        <v>4.7</v>
      </c>
    </row>
    <row r="20" spans="1:12" ht="15" customHeight="1" x14ac:dyDescent="0.3">
      <c r="A20" s="4" t="s">
        <v>70</v>
      </c>
      <c r="B20" s="5">
        <v>45857</v>
      </c>
      <c r="C20" s="4" t="s">
        <v>38</v>
      </c>
      <c r="D20" s="4" t="s">
        <v>35</v>
      </c>
      <c r="E20" s="4" t="s">
        <v>71</v>
      </c>
      <c r="F20" s="6">
        <v>5395.4</v>
      </c>
      <c r="G20" s="4">
        <v>9</v>
      </c>
      <c r="H20" s="7">
        <v>0</v>
      </c>
      <c r="I20" s="8">
        <f t="shared" si="0"/>
        <v>48558.6</v>
      </c>
      <c r="J20" s="8">
        <f t="shared" si="1"/>
        <v>7065.28</v>
      </c>
      <c r="K20" s="9">
        <v>0.14549999999999999</v>
      </c>
      <c r="L20" s="10">
        <v>3.7</v>
      </c>
    </row>
    <row r="21" spans="1:12" ht="15" customHeight="1" x14ac:dyDescent="0.3">
      <c r="A21" s="4" t="s">
        <v>72</v>
      </c>
      <c r="B21" s="5">
        <v>45889</v>
      </c>
      <c r="C21" s="4" t="s">
        <v>51</v>
      </c>
      <c r="D21" s="4" t="s">
        <v>42</v>
      </c>
      <c r="E21" s="4" t="s">
        <v>73</v>
      </c>
      <c r="F21" s="6">
        <v>4725.79</v>
      </c>
      <c r="G21" s="4">
        <v>6</v>
      </c>
      <c r="H21" s="7">
        <v>5</v>
      </c>
      <c r="I21" s="8">
        <f t="shared" si="0"/>
        <v>26937</v>
      </c>
      <c r="J21" s="8">
        <f t="shared" si="1"/>
        <v>8240.0300000000007</v>
      </c>
      <c r="K21" s="9">
        <v>0.30590000000000001</v>
      </c>
      <c r="L21" s="10">
        <v>4.0999999999999996</v>
      </c>
    </row>
    <row r="22" spans="1:12" ht="15" customHeight="1" x14ac:dyDescent="0.3">
      <c r="A22" s="4" t="s">
        <v>74</v>
      </c>
      <c r="B22" s="5">
        <v>45921</v>
      </c>
      <c r="C22" s="4" t="s">
        <v>34</v>
      </c>
      <c r="D22" s="4" t="s">
        <v>42</v>
      </c>
      <c r="E22" s="4" t="s">
        <v>43</v>
      </c>
      <c r="F22" s="6">
        <v>6372.74</v>
      </c>
      <c r="G22" s="4">
        <v>8</v>
      </c>
      <c r="H22" s="7">
        <v>0</v>
      </c>
      <c r="I22" s="8">
        <f t="shared" si="0"/>
        <v>50981.919999999998</v>
      </c>
      <c r="J22" s="8">
        <f t="shared" si="1"/>
        <v>14580.83</v>
      </c>
      <c r="K22" s="9">
        <v>0.28599999999999998</v>
      </c>
      <c r="L22" s="10">
        <v>4.8</v>
      </c>
    </row>
    <row r="23" spans="1:12" ht="15" customHeight="1" x14ac:dyDescent="0.3">
      <c r="A23" s="4" t="s">
        <v>75</v>
      </c>
      <c r="B23" s="5">
        <v>45952</v>
      </c>
      <c r="C23" s="4" t="s">
        <v>54</v>
      </c>
      <c r="D23" s="4" t="s">
        <v>42</v>
      </c>
      <c r="E23" s="4" t="s">
        <v>45</v>
      </c>
      <c r="F23" s="6">
        <v>5205.8999999999996</v>
      </c>
      <c r="G23" s="4">
        <v>9</v>
      </c>
      <c r="H23" s="7">
        <v>5</v>
      </c>
      <c r="I23" s="8">
        <f t="shared" si="0"/>
        <v>44510.45</v>
      </c>
      <c r="J23" s="8">
        <f t="shared" si="1"/>
        <v>11132.06</v>
      </c>
      <c r="K23" s="9">
        <v>0.25009999999999999</v>
      </c>
      <c r="L23" s="10">
        <v>4.8</v>
      </c>
    </row>
    <row r="24" spans="1:12" ht="15" customHeight="1" x14ac:dyDescent="0.3">
      <c r="A24" s="4" t="s">
        <v>76</v>
      </c>
      <c r="B24" s="5">
        <v>45984</v>
      </c>
      <c r="C24" s="4" t="s">
        <v>51</v>
      </c>
      <c r="D24" s="4" t="s">
        <v>42</v>
      </c>
      <c r="E24" s="4" t="s">
        <v>45</v>
      </c>
      <c r="F24" s="6">
        <v>3040.61</v>
      </c>
      <c r="G24" s="4">
        <v>9</v>
      </c>
      <c r="H24" s="7">
        <v>10</v>
      </c>
      <c r="I24" s="8">
        <f t="shared" si="0"/>
        <v>24628.94</v>
      </c>
      <c r="J24" s="8">
        <f t="shared" si="1"/>
        <v>6240.97</v>
      </c>
      <c r="K24" s="9">
        <v>0.25340000000000001</v>
      </c>
      <c r="L24" s="10">
        <v>3.7</v>
      </c>
    </row>
    <row r="25" spans="1:12" ht="15" customHeight="1" x14ac:dyDescent="0.3">
      <c r="A25" s="4" t="s">
        <v>77</v>
      </c>
      <c r="B25" s="5">
        <v>46015</v>
      </c>
      <c r="C25" s="4" t="s">
        <v>51</v>
      </c>
      <c r="D25" s="4" t="s">
        <v>42</v>
      </c>
      <c r="E25" s="4" t="s">
        <v>65</v>
      </c>
      <c r="F25" s="6">
        <v>6030.46</v>
      </c>
      <c r="G25" s="4">
        <v>10</v>
      </c>
      <c r="H25" s="7">
        <v>5</v>
      </c>
      <c r="I25" s="8">
        <f t="shared" si="0"/>
        <v>57289.37</v>
      </c>
      <c r="J25" s="8">
        <f t="shared" si="1"/>
        <v>10501.14</v>
      </c>
      <c r="K25" s="9">
        <v>0.18329999999999999</v>
      </c>
      <c r="L25" s="10">
        <v>4.4000000000000004</v>
      </c>
    </row>
    <row r="26" spans="1:12" ht="15" customHeight="1" x14ac:dyDescent="0.3">
      <c r="A26" s="4" t="s">
        <v>78</v>
      </c>
      <c r="B26" s="5">
        <v>45682</v>
      </c>
      <c r="C26" s="4" t="s">
        <v>54</v>
      </c>
      <c r="D26" s="4" t="s">
        <v>48</v>
      </c>
      <c r="E26" s="4" t="s">
        <v>52</v>
      </c>
      <c r="F26" s="6">
        <v>2922.41</v>
      </c>
      <c r="G26" s="4">
        <v>10</v>
      </c>
      <c r="H26" s="7">
        <v>15</v>
      </c>
      <c r="I26" s="8">
        <f t="shared" si="0"/>
        <v>24840.49</v>
      </c>
      <c r="J26" s="8">
        <f t="shared" si="1"/>
        <v>4846.38</v>
      </c>
      <c r="K26" s="9">
        <v>0.1951</v>
      </c>
      <c r="L26" s="10">
        <v>4.9000000000000004</v>
      </c>
    </row>
    <row r="27" spans="1:12" ht="15" customHeight="1" x14ac:dyDescent="0.3">
      <c r="A27" s="4" t="s">
        <v>79</v>
      </c>
      <c r="B27" s="5">
        <v>45714</v>
      </c>
      <c r="C27" s="4" t="s">
        <v>59</v>
      </c>
      <c r="D27" s="4" t="s">
        <v>35</v>
      </c>
      <c r="E27" s="4" t="s">
        <v>80</v>
      </c>
      <c r="F27" s="6">
        <v>3167.1</v>
      </c>
      <c r="G27" s="4">
        <v>1</v>
      </c>
      <c r="H27" s="7">
        <v>5</v>
      </c>
      <c r="I27" s="8">
        <f t="shared" si="0"/>
        <v>3008.75</v>
      </c>
      <c r="J27" s="8">
        <f t="shared" si="1"/>
        <v>697.43</v>
      </c>
      <c r="K27" s="9">
        <v>0.23180000000000001</v>
      </c>
      <c r="L27" s="10">
        <v>4.5</v>
      </c>
    </row>
    <row r="28" spans="1:12" ht="15" customHeight="1" x14ac:dyDescent="0.3">
      <c r="A28" s="4" t="s">
        <v>81</v>
      </c>
      <c r="B28" s="5">
        <v>45743</v>
      </c>
      <c r="C28" s="4" t="s">
        <v>34</v>
      </c>
      <c r="D28" s="4" t="s">
        <v>42</v>
      </c>
      <c r="E28" s="4" t="s">
        <v>60</v>
      </c>
      <c r="F28" s="6">
        <v>6288.72</v>
      </c>
      <c r="G28" s="4">
        <v>7</v>
      </c>
      <c r="H28" s="7">
        <v>10</v>
      </c>
      <c r="I28" s="8">
        <f t="shared" si="0"/>
        <v>39618.94</v>
      </c>
      <c r="J28" s="8">
        <f t="shared" si="1"/>
        <v>4801.82</v>
      </c>
      <c r="K28" s="9">
        <v>0.1212</v>
      </c>
      <c r="L28" s="10">
        <v>4.5999999999999996</v>
      </c>
    </row>
    <row r="29" spans="1:12" ht="15" customHeight="1" x14ac:dyDescent="0.3">
      <c r="A29" s="4" t="s">
        <v>82</v>
      </c>
      <c r="B29" s="5">
        <v>45748</v>
      </c>
      <c r="C29" s="4" t="s">
        <v>54</v>
      </c>
      <c r="D29" s="4" t="s">
        <v>35</v>
      </c>
      <c r="E29" s="4" t="s">
        <v>36</v>
      </c>
      <c r="F29" s="6">
        <v>5920.46</v>
      </c>
      <c r="G29" s="4">
        <v>7</v>
      </c>
      <c r="H29" s="7">
        <v>15</v>
      </c>
      <c r="I29" s="8">
        <f t="shared" si="0"/>
        <v>35226.74</v>
      </c>
      <c r="J29" s="8">
        <f t="shared" si="1"/>
        <v>9768.3799999999992</v>
      </c>
      <c r="K29" s="9">
        <v>0.27729999999999999</v>
      </c>
      <c r="L29" s="10">
        <v>4.8</v>
      </c>
    </row>
    <row r="30" spans="1:12" ht="15" customHeight="1" x14ac:dyDescent="0.3">
      <c r="A30" s="4" t="s">
        <v>83</v>
      </c>
      <c r="B30" s="5">
        <v>45779</v>
      </c>
      <c r="C30" s="4" t="s">
        <v>51</v>
      </c>
      <c r="D30" s="4" t="s">
        <v>35</v>
      </c>
      <c r="E30" s="4" t="s">
        <v>36</v>
      </c>
      <c r="F30" s="6">
        <v>2117.92</v>
      </c>
      <c r="G30" s="4">
        <v>5</v>
      </c>
      <c r="H30" s="7">
        <v>15</v>
      </c>
      <c r="I30" s="8">
        <f t="shared" si="0"/>
        <v>9001.16</v>
      </c>
      <c r="J30" s="8">
        <f t="shared" si="1"/>
        <v>2417.71</v>
      </c>
      <c r="K30" s="9">
        <v>0.26860000000000001</v>
      </c>
      <c r="L30" s="10">
        <v>4.4000000000000004</v>
      </c>
    </row>
    <row r="31" spans="1:12" ht="15" customHeight="1" x14ac:dyDescent="0.3">
      <c r="A31" s="4" t="s">
        <v>84</v>
      </c>
      <c r="B31" s="5">
        <v>45811</v>
      </c>
      <c r="C31" s="4" t="s">
        <v>41</v>
      </c>
      <c r="D31" s="4" t="s">
        <v>48</v>
      </c>
      <c r="E31" s="4" t="s">
        <v>85</v>
      </c>
      <c r="F31" s="6">
        <v>589.33000000000004</v>
      </c>
      <c r="G31" s="4">
        <v>1</v>
      </c>
      <c r="H31" s="7">
        <v>0</v>
      </c>
      <c r="I31" s="8">
        <f t="shared" si="0"/>
        <v>589.33000000000004</v>
      </c>
      <c r="J31" s="8">
        <f t="shared" si="1"/>
        <v>102.6</v>
      </c>
      <c r="K31" s="9">
        <v>0.1741</v>
      </c>
      <c r="L31" s="10">
        <v>4.9000000000000004</v>
      </c>
    </row>
    <row r="32" spans="1:12" ht="15" customHeight="1" x14ac:dyDescent="0.3">
      <c r="A32" s="4" t="s">
        <v>86</v>
      </c>
      <c r="B32" s="5">
        <v>45842</v>
      </c>
      <c r="C32" s="4" t="s">
        <v>51</v>
      </c>
      <c r="D32" s="4" t="s">
        <v>35</v>
      </c>
      <c r="E32" s="4" t="s">
        <v>39</v>
      </c>
      <c r="F32" s="6">
        <v>2958.69</v>
      </c>
      <c r="G32" s="4">
        <v>1</v>
      </c>
      <c r="H32" s="7">
        <v>5</v>
      </c>
      <c r="I32" s="8">
        <f t="shared" si="0"/>
        <v>2810.76</v>
      </c>
      <c r="J32" s="8">
        <f t="shared" si="1"/>
        <v>635.23</v>
      </c>
      <c r="K32" s="9">
        <v>0.22600000000000001</v>
      </c>
      <c r="L32" s="10">
        <v>3.7</v>
      </c>
    </row>
    <row r="33" spans="1:12" ht="15" customHeight="1" x14ac:dyDescent="0.3">
      <c r="A33" s="4" t="s">
        <v>87</v>
      </c>
      <c r="B33" s="5">
        <v>45874</v>
      </c>
      <c r="C33" s="4" t="s">
        <v>59</v>
      </c>
      <c r="D33" s="4" t="s">
        <v>42</v>
      </c>
      <c r="E33" s="4" t="s">
        <v>45</v>
      </c>
      <c r="F33" s="6">
        <v>6152.08</v>
      </c>
      <c r="G33" s="4">
        <v>4</v>
      </c>
      <c r="H33" s="7">
        <v>15</v>
      </c>
      <c r="I33" s="8">
        <f t="shared" si="0"/>
        <v>20917.07</v>
      </c>
      <c r="J33" s="8">
        <f t="shared" si="1"/>
        <v>6492.66</v>
      </c>
      <c r="K33" s="9">
        <v>0.31040000000000001</v>
      </c>
      <c r="L33" s="10">
        <v>3.7</v>
      </c>
    </row>
    <row r="34" spans="1:12" ht="15" customHeight="1" x14ac:dyDescent="0.3">
      <c r="A34" s="4" t="s">
        <v>88</v>
      </c>
      <c r="B34" s="5">
        <v>45906</v>
      </c>
      <c r="C34" s="4" t="s">
        <v>51</v>
      </c>
      <c r="D34" s="4" t="s">
        <v>42</v>
      </c>
      <c r="E34" s="4" t="s">
        <v>60</v>
      </c>
      <c r="F34" s="6">
        <v>600.19000000000005</v>
      </c>
      <c r="G34" s="4">
        <v>2</v>
      </c>
      <c r="H34" s="7">
        <v>15</v>
      </c>
      <c r="I34" s="8">
        <f t="shared" ref="I34:I65" si="2">ROUND(F34*G34*(1-H34/100),2)</f>
        <v>1020.32</v>
      </c>
      <c r="J34" s="8">
        <f t="shared" ref="J34:J65" si="3">ROUND(I34*K34,2)</f>
        <v>171.01</v>
      </c>
      <c r="K34" s="9">
        <v>0.1676</v>
      </c>
      <c r="L34" s="10">
        <v>4.5999999999999996</v>
      </c>
    </row>
    <row r="35" spans="1:12" ht="15" customHeight="1" x14ac:dyDescent="0.3">
      <c r="A35" s="4" t="s">
        <v>89</v>
      </c>
      <c r="B35" s="5">
        <v>45937</v>
      </c>
      <c r="C35" s="4" t="s">
        <v>51</v>
      </c>
      <c r="D35" s="4" t="s">
        <v>42</v>
      </c>
      <c r="E35" s="4" t="s">
        <v>60</v>
      </c>
      <c r="F35" s="6">
        <v>1221.7</v>
      </c>
      <c r="G35" s="4">
        <v>5</v>
      </c>
      <c r="H35" s="7">
        <v>15</v>
      </c>
      <c r="I35" s="8">
        <f t="shared" si="2"/>
        <v>5192.2299999999996</v>
      </c>
      <c r="J35" s="8">
        <f t="shared" si="3"/>
        <v>1496.4</v>
      </c>
      <c r="K35" s="9">
        <v>0.28820000000000001</v>
      </c>
      <c r="L35" s="10">
        <v>4.5999999999999996</v>
      </c>
    </row>
    <row r="36" spans="1:12" ht="15" customHeight="1" x14ac:dyDescent="0.3">
      <c r="A36" s="4" t="s">
        <v>90</v>
      </c>
      <c r="B36" s="5">
        <v>45969</v>
      </c>
      <c r="C36" s="4" t="s">
        <v>59</v>
      </c>
      <c r="D36" s="4" t="s">
        <v>35</v>
      </c>
      <c r="E36" s="4" t="s">
        <v>91</v>
      </c>
      <c r="F36" s="6">
        <v>2655.81</v>
      </c>
      <c r="G36" s="4">
        <v>1</v>
      </c>
      <c r="H36" s="7">
        <v>15</v>
      </c>
      <c r="I36" s="8">
        <f t="shared" si="2"/>
        <v>2257.44</v>
      </c>
      <c r="J36" s="8">
        <f t="shared" si="3"/>
        <v>711.09</v>
      </c>
      <c r="K36" s="9">
        <v>0.315</v>
      </c>
      <c r="L36" s="10">
        <v>4.2</v>
      </c>
    </row>
    <row r="37" spans="1:12" ht="15" customHeight="1" x14ac:dyDescent="0.3">
      <c r="A37" s="4" t="s">
        <v>92</v>
      </c>
      <c r="B37" s="5">
        <v>46000</v>
      </c>
      <c r="C37" s="4" t="s">
        <v>41</v>
      </c>
      <c r="D37" s="4" t="s">
        <v>35</v>
      </c>
      <c r="E37" s="4" t="s">
        <v>36</v>
      </c>
      <c r="F37" s="6">
        <v>2283.16</v>
      </c>
      <c r="G37" s="4">
        <v>4</v>
      </c>
      <c r="H37" s="7">
        <v>0</v>
      </c>
      <c r="I37" s="8">
        <f t="shared" si="2"/>
        <v>9132.64</v>
      </c>
      <c r="J37" s="8">
        <f t="shared" si="3"/>
        <v>1139.75</v>
      </c>
      <c r="K37" s="9">
        <v>0.12479999999999999</v>
      </c>
      <c r="L37" s="10">
        <v>4.9000000000000004</v>
      </c>
    </row>
    <row r="38" spans="1:12" ht="15" customHeight="1" x14ac:dyDescent="0.3">
      <c r="A38" s="4" t="s">
        <v>93</v>
      </c>
      <c r="B38" s="5">
        <v>45667</v>
      </c>
      <c r="C38" s="4" t="s">
        <v>59</v>
      </c>
      <c r="D38" s="4" t="s">
        <v>35</v>
      </c>
      <c r="E38" s="4" t="s">
        <v>94</v>
      </c>
      <c r="F38" s="6">
        <v>648.30999999999995</v>
      </c>
      <c r="G38" s="4">
        <v>9</v>
      </c>
      <c r="H38" s="7">
        <v>5</v>
      </c>
      <c r="I38" s="8">
        <f t="shared" si="2"/>
        <v>5543.05</v>
      </c>
      <c r="J38" s="8">
        <f t="shared" si="3"/>
        <v>1248.8499999999999</v>
      </c>
      <c r="K38" s="9">
        <v>0.2253</v>
      </c>
      <c r="L38" s="10">
        <v>4.5999999999999996</v>
      </c>
    </row>
    <row r="39" spans="1:12" ht="15" customHeight="1" x14ac:dyDescent="0.3">
      <c r="A39" s="4" t="s">
        <v>95</v>
      </c>
      <c r="B39" s="5">
        <v>45699</v>
      </c>
      <c r="C39" s="4" t="s">
        <v>41</v>
      </c>
      <c r="D39" s="4" t="s">
        <v>42</v>
      </c>
      <c r="E39" s="4" t="s">
        <v>73</v>
      </c>
      <c r="F39" s="6">
        <v>1559.97</v>
      </c>
      <c r="G39" s="4">
        <v>5</v>
      </c>
      <c r="H39" s="7">
        <v>0</v>
      </c>
      <c r="I39" s="8">
        <f t="shared" si="2"/>
        <v>7799.85</v>
      </c>
      <c r="J39" s="8">
        <f t="shared" si="3"/>
        <v>1039.72</v>
      </c>
      <c r="K39" s="9">
        <v>0.1333</v>
      </c>
      <c r="L39" s="10">
        <v>4.8</v>
      </c>
    </row>
    <row r="40" spans="1:12" ht="15" customHeight="1" x14ac:dyDescent="0.3">
      <c r="A40" s="4" t="s">
        <v>96</v>
      </c>
      <c r="B40" s="5">
        <v>45728</v>
      </c>
      <c r="C40" s="4" t="s">
        <v>51</v>
      </c>
      <c r="D40" s="4" t="s">
        <v>35</v>
      </c>
      <c r="E40" s="4" t="s">
        <v>94</v>
      </c>
      <c r="F40" s="6">
        <v>1171.67</v>
      </c>
      <c r="G40" s="4">
        <v>9</v>
      </c>
      <c r="H40" s="7">
        <v>5</v>
      </c>
      <c r="I40" s="8">
        <f t="shared" si="2"/>
        <v>10017.780000000001</v>
      </c>
      <c r="J40" s="8">
        <f t="shared" si="3"/>
        <v>2116.7600000000002</v>
      </c>
      <c r="K40" s="9">
        <v>0.21129999999999999</v>
      </c>
      <c r="L40" s="10">
        <v>5</v>
      </c>
    </row>
    <row r="41" spans="1:12" ht="15" customHeight="1" x14ac:dyDescent="0.3">
      <c r="A41" s="4" t="s">
        <v>97</v>
      </c>
      <c r="B41" s="5">
        <v>45760</v>
      </c>
      <c r="C41" s="4" t="s">
        <v>54</v>
      </c>
      <c r="D41" s="4" t="s">
        <v>35</v>
      </c>
      <c r="E41" s="4" t="s">
        <v>71</v>
      </c>
      <c r="F41" s="6">
        <v>3341.98</v>
      </c>
      <c r="G41" s="4">
        <v>6</v>
      </c>
      <c r="H41" s="7">
        <v>10</v>
      </c>
      <c r="I41" s="8">
        <f t="shared" si="2"/>
        <v>18046.689999999999</v>
      </c>
      <c r="J41" s="8">
        <f t="shared" si="3"/>
        <v>3107.64</v>
      </c>
      <c r="K41" s="9">
        <v>0.17219999999999999</v>
      </c>
      <c r="L41" s="10">
        <v>4.4000000000000004</v>
      </c>
    </row>
    <row r="42" spans="1:12" ht="15" customHeight="1" x14ac:dyDescent="0.3">
      <c r="A42" s="4" t="s">
        <v>98</v>
      </c>
      <c r="B42" s="5">
        <v>45791</v>
      </c>
      <c r="C42" s="4" t="s">
        <v>38</v>
      </c>
      <c r="D42" s="4" t="s">
        <v>35</v>
      </c>
      <c r="E42" s="4" t="s">
        <v>80</v>
      </c>
      <c r="F42" s="6">
        <v>4363.5600000000004</v>
      </c>
      <c r="G42" s="4">
        <v>3</v>
      </c>
      <c r="H42" s="7">
        <v>10</v>
      </c>
      <c r="I42" s="8">
        <f t="shared" si="2"/>
        <v>11781.61</v>
      </c>
      <c r="J42" s="8">
        <f t="shared" si="3"/>
        <v>2487.1</v>
      </c>
      <c r="K42" s="9">
        <v>0.21110000000000001</v>
      </c>
      <c r="L42" s="10">
        <v>4.4000000000000004</v>
      </c>
    </row>
    <row r="43" spans="1:12" ht="15" customHeight="1" x14ac:dyDescent="0.3">
      <c r="A43" s="4" t="s">
        <v>99</v>
      </c>
      <c r="B43" s="5">
        <v>45823</v>
      </c>
      <c r="C43" s="4" t="s">
        <v>34</v>
      </c>
      <c r="D43" s="4" t="s">
        <v>35</v>
      </c>
      <c r="E43" s="4" t="s">
        <v>91</v>
      </c>
      <c r="F43" s="6">
        <v>3411.9</v>
      </c>
      <c r="G43" s="4">
        <v>1</v>
      </c>
      <c r="H43" s="7">
        <v>10</v>
      </c>
      <c r="I43" s="8">
        <f t="shared" si="2"/>
        <v>3070.71</v>
      </c>
      <c r="J43" s="8">
        <f t="shared" si="3"/>
        <v>807.6</v>
      </c>
      <c r="K43" s="9">
        <v>0.26300000000000001</v>
      </c>
      <c r="L43" s="10">
        <v>3.8</v>
      </c>
    </row>
    <row r="44" spans="1:12" ht="15" customHeight="1" x14ac:dyDescent="0.3">
      <c r="A44" s="4" t="s">
        <v>100</v>
      </c>
      <c r="B44" s="5">
        <v>45854</v>
      </c>
      <c r="C44" s="4" t="s">
        <v>34</v>
      </c>
      <c r="D44" s="4" t="s">
        <v>48</v>
      </c>
      <c r="E44" s="4" t="s">
        <v>101</v>
      </c>
      <c r="F44" s="6">
        <v>2360.8000000000002</v>
      </c>
      <c r="G44" s="4">
        <v>10</v>
      </c>
      <c r="H44" s="7">
        <v>5</v>
      </c>
      <c r="I44" s="8">
        <f t="shared" si="2"/>
        <v>22427.599999999999</v>
      </c>
      <c r="J44" s="8">
        <f t="shared" si="3"/>
        <v>6678.94</v>
      </c>
      <c r="K44" s="9">
        <v>0.29780000000000001</v>
      </c>
      <c r="L44" s="10">
        <v>5</v>
      </c>
    </row>
    <row r="45" spans="1:12" ht="15" customHeight="1" x14ac:dyDescent="0.3">
      <c r="A45" s="4" t="s">
        <v>102</v>
      </c>
      <c r="B45" s="5">
        <v>45886</v>
      </c>
      <c r="C45" s="4" t="s">
        <v>34</v>
      </c>
      <c r="D45" s="4" t="s">
        <v>35</v>
      </c>
      <c r="E45" s="4" t="s">
        <v>91</v>
      </c>
      <c r="F45" s="6">
        <v>5056.32</v>
      </c>
      <c r="G45" s="4">
        <v>10</v>
      </c>
      <c r="H45" s="7">
        <v>5</v>
      </c>
      <c r="I45" s="8">
        <f t="shared" si="2"/>
        <v>48035.040000000001</v>
      </c>
      <c r="J45" s="8">
        <f t="shared" si="3"/>
        <v>10265.09</v>
      </c>
      <c r="K45" s="9">
        <v>0.2137</v>
      </c>
      <c r="L45" s="10">
        <v>3.8</v>
      </c>
    </row>
    <row r="46" spans="1:12" ht="15" customHeight="1" x14ac:dyDescent="0.3">
      <c r="A46" s="4" t="s">
        <v>103</v>
      </c>
      <c r="B46" s="5">
        <v>45918</v>
      </c>
      <c r="C46" s="4" t="s">
        <v>34</v>
      </c>
      <c r="D46" s="4" t="s">
        <v>48</v>
      </c>
      <c r="E46" s="4" t="s">
        <v>101</v>
      </c>
      <c r="F46" s="6">
        <v>608.64</v>
      </c>
      <c r="G46" s="4">
        <v>5</v>
      </c>
      <c r="H46" s="7">
        <v>5</v>
      </c>
      <c r="I46" s="8">
        <f t="shared" si="2"/>
        <v>2891.04</v>
      </c>
      <c r="J46" s="8">
        <f t="shared" si="3"/>
        <v>922.53</v>
      </c>
      <c r="K46" s="9">
        <v>0.31909999999999999</v>
      </c>
      <c r="L46" s="10">
        <v>3.7</v>
      </c>
    </row>
    <row r="47" spans="1:12" ht="15" customHeight="1" x14ac:dyDescent="0.3">
      <c r="A47" s="4" t="s">
        <v>104</v>
      </c>
      <c r="B47" s="5">
        <v>45949</v>
      </c>
      <c r="C47" s="4" t="s">
        <v>51</v>
      </c>
      <c r="D47" s="4" t="s">
        <v>35</v>
      </c>
      <c r="E47" s="4" t="s">
        <v>71</v>
      </c>
      <c r="F47" s="6">
        <v>6392.4</v>
      </c>
      <c r="G47" s="4">
        <v>6</v>
      </c>
      <c r="H47" s="7">
        <v>10</v>
      </c>
      <c r="I47" s="8">
        <f t="shared" si="2"/>
        <v>34518.959999999999</v>
      </c>
      <c r="J47" s="8">
        <f t="shared" si="3"/>
        <v>10041.57</v>
      </c>
      <c r="K47" s="9">
        <v>0.29089999999999999</v>
      </c>
      <c r="L47" s="10">
        <v>4.3</v>
      </c>
    </row>
    <row r="48" spans="1:12" ht="15" customHeight="1" x14ac:dyDescent="0.3">
      <c r="A48" s="4" t="s">
        <v>105</v>
      </c>
      <c r="B48" s="5">
        <v>45981</v>
      </c>
      <c r="C48" s="4" t="s">
        <v>54</v>
      </c>
      <c r="D48" s="4" t="s">
        <v>42</v>
      </c>
      <c r="E48" s="4" t="s">
        <v>65</v>
      </c>
      <c r="F48" s="6">
        <v>3976.1</v>
      </c>
      <c r="G48" s="4">
        <v>8</v>
      </c>
      <c r="H48" s="7">
        <v>5</v>
      </c>
      <c r="I48" s="8">
        <f t="shared" si="2"/>
        <v>30218.36</v>
      </c>
      <c r="J48" s="8">
        <f t="shared" si="3"/>
        <v>3964.65</v>
      </c>
      <c r="K48" s="9">
        <v>0.13120000000000001</v>
      </c>
      <c r="L48" s="10">
        <v>4.8</v>
      </c>
    </row>
    <row r="49" spans="1:12" ht="15" customHeight="1" x14ac:dyDescent="0.3">
      <c r="A49" s="4" t="s">
        <v>106</v>
      </c>
      <c r="B49" s="5">
        <v>46012</v>
      </c>
      <c r="C49" s="4" t="s">
        <v>54</v>
      </c>
      <c r="D49" s="4" t="s">
        <v>42</v>
      </c>
      <c r="E49" s="4" t="s">
        <v>65</v>
      </c>
      <c r="F49" s="6">
        <v>5495.33</v>
      </c>
      <c r="G49" s="4">
        <v>8</v>
      </c>
      <c r="H49" s="7">
        <v>0</v>
      </c>
      <c r="I49" s="8">
        <f t="shared" si="2"/>
        <v>43962.64</v>
      </c>
      <c r="J49" s="8">
        <f t="shared" si="3"/>
        <v>13975.72</v>
      </c>
      <c r="K49" s="9">
        <v>0.31790000000000002</v>
      </c>
      <c r="L49" s="10">
        <v>3.6</v>
      </c>
    </row>
    <row r="50" spans="1:12" ht="15" customHeight="1" x14ac:dyDescent="0.3">
      <c r="A50" s="4" t="s">
        <v>107</v>
      </c>
      <c r="B50" s="5">
        <v>45679</v>
      </c>
      <c r="C50" s="4" t="s">
        <v>51</v>
      </c>
      <c r="D50" s="4" t="s">
        <v>48</v>
      </c>
      <c r="E50" s="4" t="s">
        <v>52</v>
      </c>
      <c r="F50" s="6">
        <v>2102.2399999999998</v>
      </c>
      <c r="G50" s="4">
        <v>7</v>
      </c>
      <c r="H50" s="7">
        <v>15</v>
      </c>
      <c r="I50" s="8">
        <f t="shared" si="2"/>
        <v>12508.33</v>
      </c>
      <c r="J50" s="8">
        <f t="shared" si="3"/>
        <v>1798.7</v>
      </c>
      <c r="K50" s="9">
        <v>0.14380000000000001</v>
      </c>
      <c r="L50" s="10">
        <v>4.5</v>
      </c>
    </row>
    <row r="51" spans="1:12" ht="15" customHeight="1" x14ac:dyDescent="0.3">
      <c r="A51" s="4" t="s">
        <v>108</v>
      </c>
      <c r="B51" s="5">
        <v>45711</v>
      </c>
      <c r="C51" s="4" t="s">
        <v>51</v>
      </c>
      <c r="D51" s="4" t="s">
        <v>35</v>
      </c>
      <c r="E51" s="4" t="s">
        <v>80</v>
      </c>
      <c r="F51" s="6">
        <v>3816.47</v>
      </c>
      <c r="G51" s="4">
        <v>2</v>
      </c>
      <c r="H51" s="7">
        <v>0</v>
      </c>
      <c r="I51" s="8">
        <f t="shared" si="2"/>
        <v>7632.94</v>
      </c>
      <c r="J51" s="8">
        <f t="shared" si="3"/>
        <v>1712.07</v>
      </c>
      <c r="K51" s="9">
        <v>0.2243</v>
      </c>
      <c r="L51" s="10">
        <v>4.5</v>
      </c>
    </row>
    <row r="52" spans="1:12" ht="15" customHeight="1" x14ac:dyDescent="0.3">
      <c r="A52" s="4" t="s">
        <v>109</v>
      </c>
      <c r="B52" s="5">
        <v>45740</v>
      </c>
      <c r="C52" s="4" t="s">
        <v>51</v>
      </c>
      <c r="D52" s="4" t="s">
        <v>35</v>
      </c>
      <c r="E52" s="4" t="s">
        <v>71</v>
      </c>
      <c r="F52" s="6">
        <v>3136.69</v>
      </c>
      <c r="G52" s="4">
        <v>5</v>
      </c>
      <c r="H52" s="7">
        <v>5</v>
      </c>
      <c r="I52" s="8">
        <f t="shared" si="2"/>
        <v>14899.28</v>
      </c>
      <c r="J52" s="8">
        <f t="shared" si="3"/>
        <v>3370.22</v>
      </c>
      <c r="K52" s="9">
        <v>0.22620000000000001</v>
      </c>
      <c r="L52" s="10">
        <v>3.8</v>
      </c>
    </row>
    <row r="53" spans="1:12" ht="15" customHeight="1" x14ac:dyDescent="0.3">
      <c r="A53" s="4" t="s">
        <v>110</v>
      </c>
      <c r="B53" s="5">
        <v>45772</v>
      </c>
      <c r="C53" s="4" t="s">
        <v>51</v>
      </c>
      <c r="D53" s="4" t="s">
        <v>35</v>
      </c>
      <c r="E53" s="4" t="s">
        <v>39</v>
      </c>
      <c r="F53" s="6">
        <v>647.25</v>
      </c>
      <c r="G53" s="4">
        <v>2</v>
      </c>
      <c r="H53" s="7">
        <v>15</v>
      </c>
      <c r="I53" s="8">
        <f t="shared" si="2"/>
        <v>1100.33</v>
      </c>
      <c r="J53" s="8">
        <f t="shared" si="3"/>
        <v>253.96</v>
      </c>
      <c r="K53" s="9">
        <v>0.23080000000000001</v>
      </c>
      <c r="L53" s="10">
        <v>5</v>
      </c>
    </row>
    <row r="54" spans="1:12" ht="15" customHeight="1" x14ac:dyDescent="0.3">
      <c r="A54" s="4" t="s">
        <v>111</v>
      </c>
      <c r="B54" s="5">
        <v>45803</v>
      </c>
      <c r="C54" s="4" t="s">
        <v>41</v>
      </c>
      <c r="D54" s="4" t="s">
        <v>42</v>
      </c>
      <c r="E54" s="4" t="s">
        <v>73</v>
      </c>
      <c r="F54" s="6">
        <v>4622.2299999999996</v>
      </c>
      <c r="G54" s="4">
        <v>3</v>
      </c>
      <c r="H54" s="7">
        <v>15</v>
      </c>
      <c r="I54" s="8">
        <f t="shared" si="2"/>
        <v>11786.69</v>
      </c>
      <c r="J54" s="8">
        <f t="shared" si="3"/>
        <v>3169.44</v>
      </c>
      <c r="K54" s="9">
        <v>0.26889999999999997</v>
      </c>
      <c r="L54" s="10">
        <v>4.2</v>
      </c>
    </row>
    <row r="55" spans="1:12" ht="15" customHeight="1" x14ac:dyDescent="0.3">
      <c r="A55" s="4" t="s">
        <v>112</v>
      </c>
      <c r="B55" s="5">
        <v>45835</v>
      </c>
      <c r="C55" s="4" t="s">
        <v>34</v>
      </c>
      <c r="D55" s="4" t="s">
        <v>48</v>
      </c>
      <c r="E55" s="4" t="s">
        <v>85</v>
      </c>
      <c r="F55" s="6">
        <v>675.21</v>
      </c>
      <c r="G55" s="4">
        <v>6</v>
      </c>
      <c r="H55" s="7">
        <v>15</v>
      </c>
      <c r="I55" s="8">
        <f t="shared" si="2"/>
        <v>3443.57</v>
      </c>
      <c r="J55" s="8">
        <f t="shared" si="3"/>
        <v>818.88</v>
      </c>
      <c r="K55" s="9">
        <v>0.23780000000000001</v>
      </c>
      <c r="L55" s="10">
        <v>4.0999999999999996</v>
      </c>
    </row>
    <row r="56" spans="1:12" ht="15" customHeight="1" x14ac:dyDescent="0.3">
      <c r="A56" s="4" t="s">
        <v>113</v>
      </c>
      <c r="B56" s="5">
        <v>45839</v>
      </c>
      <c r="C56" s="4" t="s">
        <v>41</v>
      </c>
      <c r="D56" s="4" t="s">
        <v>48</v>
      </c>
      <c r="E56" s="4" t="s">
        <v>85</v>
      </c>
      <c r="F56" s="6">
        <v>1456.31</v>
      </c>
      <c r="G56" s="4">
        <v>1</v>
      </c>
      <c r="H56" s="7">
        <v>15</v>
      </c>
      <c r="I56" s="8">
        <f t="shared" si="2"/>
        <v>1237.8599999999999</v>
      </c>
      <c r="J56" s="8">
        <f t="shared" si="3"/>
        <v>209.32</v>
      </c>
      <c r="K56" s="9">
        <v>0.1691</v>
      </c>
      <c r="L56" s="10">
        <v>4</v>
      </c>
    </row>
    <row r="57" spans="1:12" ht="15" customHeight="1" x14ac:dyDescent="0.3">
      <c r="A57" s="4" t="s">
        <v>114</v>
      </c>
      <c r="B57" s="5">
        <v>45871</v>
      </c>
      <c r="C57" s="4" t="s">
        <v>59</v>
      </c>
      <c r="D57" s="4" t="s">
        <v>42</v>
      </c>
      <c r="E57" s="4" t="s">
        <v>43</v>
      </c>
      <c r="F57" s="6">
        <v>4314.79</v>
      </c>
      <c r="G57" s="4">
        <v>10</v>
      </c>
      <c r="H57" s="7">
        <v>0</v>
      </c>
      <c r="I57" s="8">
        <f t="shared" si="2"/>
        <v>43147.9</v>
      </c>
      <c r="J57" s="8">
        <f t="shared" si="3"/>
        <v>7110.77</v>
      </c>
      <c r="K57" s="9">
        <v>0.1648</v>
      </c>
      <c r="L57" s="10">
        <v>4.8</v>
      </c>
    </row>
    <row r="58" spans="1:12" ht="15" customHeight="1" x14ac:dyDescent="0.3">
      <c r="A58" s="4" t="s">
        <v>115</v>
      </c>
      <c r="B58" s="5">
        <v>45903</v>
      </c>
      <c r="C58" s="4" t="s">
        <v>54</v>
      </c>
      <c r="D58" s="4" t="s">
        <v>48</v>
      </c>
      <c r="E58" s="4" t="s">
        <v>52</v>
      </c>
      <c r="F58" s="6">
        <v>1545.68</v>
      </c>
      <c r="G58" s="4">
        <v>9</v>
      </c>
      <c r="H58" s="7">
        <v>15</v>
      </c>
      <c r="I58" s="8">
        <f t="shared" si="2"/>
        <v>11824.45</v>
      </c>
      <c r="J58" s="8">
        <f t="shared" si="3"/>
        <v>1985.33</v>
      </c>
      <c r="K58" s="9">
        <v>0.16789999999999999</v>
      </c>
      <c r="L58" s="10">
        <v>4.5999999999999996</v>
      </c>
    </row>
    <row r="59" spans="1:12" ht="15" customHeight="1" x14ac:dyDescent="0.3">
      <c r="A59" s="4" t="s">
        <v>116</v>
      </c>
      <c r="B59" s="5">
        <v>45934</v>
      </c>
      <c r="C59" s="4" t="s">
        <v>51</v>
      </c>
      <c r="D59" s="4" t="s">
        <v>48</v>
      </c>
      <c r="E59" s="4" t="s">
        <v>63</v>
      </c>
      <c r="F59" s="6">
        <v>1407</v>
      </c>
      <c r="G59" s="4">
        <v>1</v>
      </c>
      <c r="H59" s="7">
        <v>0</v>
      </c>
      <c r="I59" s="8">
        <f t="shared" si="2"/>
        <v>1407</v>
      </c>
      <c r="J59" s="8">
        <f t="shared" si="3"/>
        <v>372.71</v>
      </c>
      <c r="K59" s="9">
        <v>0.26490000000000002</v>
      </c>
      <c r="L59" s="10">
        <v>4.5</v>
      </c>
    </row>
    <row r="60" spans="1:12" ht="15" customHeight="1" x14ac:dyDescent="0.3">
      <c r="A60" s="4" t="s">
        <v>117</v>
      </c>
      <c r="B60" s="5">
        <v>45966</v>
      </c>
      <c r="C60" s="4" t="s">
        <v>54</v>
      </c>
      <c r="D60" s="4" t="s">
        <v>42</v>
      </c>
      <c r="E60" s="4" t="s">
        <v>60</v>
      </c>
      <c r="F60" s="6">
        <v>4380.78</v>
      </c>
      <c r="G60" s="4">
        <v>9</v>
      </c>
      <c r="H60" s="7">
        <v>0</v>
      </c>
      <c r="I60" s="8">
        <f t="shared" si="2"/>
        <v>39427.019999999997</v>
      </c>
      <c r="J60" s="8">
        <f t="shared" si="3"/>
        <v>5744.52</v>
      </c>
      <c r="K60" s="9">
        <v>0.1457</v>
      </c>
      <c r="L60" s="10">
        <v>3.7</v>
      </c>
    </row>
    <row r="61" spans="1:12" ht="15" customHeight="1" x14ac:dyDescent="0.3">
      <c r="A61" s="4" t="s">
        <v>118</v>
      </c>
      <c r="B61" s="5">
        <v>45997</v>
      </c>
      <c r="C61" s="4" t="s">
        <v>34</v>
      </c>
      <c r="D61" s="4" t="s">
        <v>48</v>
      </c>
      <c r="E61" s="4" t="s">
        <v>52</v>
      </c>
      <c r="F61" s="6">
        <v>1510.15</v>
      </c>
      <c r="G61" s="4">
        <v>8</v>
      </c>
      <c r="H61" s="7">
        <v>5</v>
      </c>
      <c r="I61" s="8">
        <f t="shared" si="2"/>
        <v>11477.14</v>
      </c>
      <c r="J61" s="8">
        <f t="shared" si="3"/>
        <v>2277.06</v>
      </c>
      <c r="K61" s="9">
        <v>0.19839999999999999</v>
      </c>
      <c r="L61" s="10">
        <v>4</v>
      </c>
    </row>
    <row r="62" spans="1:12" ht="15" customHeight="1" x14ac:dyDescent="0.3">
      <c r="A62" s="4" t="s">
        <v>119</v>
      </c>
      <c r="B62" s="5">
        <v>45664</v>
      </c>
      <c r="C62" s="4" t="s">
        <v>59</v>
      </c>
      <c r="D62" s="4" t="s">
        <v>48</v>
      </c>
      <c r="E62" s="4" t="s">
        <v>85</v>
      </c>
      <c r="F62" s="6">
        <v>981.97</v>
      </c>
      <c r="G62" s="4">
        <v>9</v>
      </c>
      <c r="H62" s="7">
        <v>15</v>
      </c>
      <c r="I62" s="8">
        <f t="shared" si="2"/>
        <v>7512.07</v>
      </c>
      <c r="J62" s="8">
        <f t="shared" si="3"/>
        <v>1974.92</v>
      </c>
      <c r="K62" s="9">
        <v>0.26290000000000002</v>
      </c>
      <c r="L62" s="10">
        <v>4.9000000000000004</v>
      </c>
    </row>
    <row r="63" spans="1:12" ht="15" customHeight="1" x14ac:dyDescent="0.3">
      <c r="A63" s="4" t="s">
        <v>120</v>
      </c>
      <c r="B63" s="5">
        <v>45696</v>
      </c>
      <c r="C63" s="4" t="s">
        <v>51</v>
      </c>
      <c r="D63" s="4" t="s">
        <v>48</v>
      </c>
      <c r="E63" s="4" t="s">
        <v>85</v>
      </c>
      <c r="F63" s="6">
        <v>1920.51</v>
      </c>
      <c r="G63" s="4">
        <v>4</v>
      </c>
      <c r="H63" s="7">
        <v>10</v>
      </c>
      <c r="I63" s="8">
        <f t="shared" si="2"/>
        <v>6913.84</v>
      </c>
      <c r="J63" s="8">
        <f t="shared" si="3"/>
        <v>1933.8</v>
      </c>
      <c r="K63" s="9">
        <v>0.2797</v>
      </c>
      <c r="L63" s="10">
        <v>3.7</v>
      </c>
    </row>
    <row r="64" spans="1:12" ht="15" customHeight="1" x14ac:dyDescent="0.3">
      <c r="A64" s="4" t="s">
        <v>121</v>
      </c>
      <c r="B64" s="5">
        <v>45725</v>
      </c>
      <c r="C64" s="4" t="s">
        <v>38</v>
      </c>
      <c r="D64" s="4" t="s">
        <v>42</v>
      </c>
      <c r="E64" s="4" t="s">
        <v>73</v>
      </c>
      <c r="F64" s="6">
        <v>6346.99</v>
      </c>
      <c r="G64" s="4">
        <v>5</v>
      </c>
      <c r="H64" s="7">
        <v>10</v>
      </c>
      <c r="I64" s="8">
        <f t="shared" si="2"/>
        <v>28561.46</v>
      </c>
      <c r="J64" s="8">
        <f t="shared" si="3"/>
        <v>5192.47</v>
      </c>
      <c r="K64" s="9">
        <v>0.18179999999999999</v>
      </c>
      <c r="L64" s="10">
        <v>4</v>
      </c>
    </row>
    <row r="65" spans="1:12" ht="15" customHeight="1" x14ac:dyDescent="0.3">
      <c r="A65" s="4" t="s">
        <v>122</v>
      </c>
      <c r="B65" s="5">
        <v>45757</v>
      </c>
      <c r="C65" s="4" t="s">
        <v>54</v>
      </c>
      <c r="D65" s="4" t="s">
        <v>48</v>
      </c>
      <c r="E65" s="4" t="s">
        <v>49</v>
      </c>
      <c r="F65" s="6">
        <v>2241.5500000000002</v>
      </c>
      <c r="G65" s="4">
        <v>4</v>
      </c>
      <c r="H65" s="7">
        <v>10</v>
      </c>
      <c r="I65" s="8">
        <f t="shared" si="2"/>
        <v>8069.58</v>
      </c>
      <c r="J65" s="8">
        <f t="shared" si="3"/>
        <v>2165.0700000000002</v>
      </c>
      <c r="K65" s="9">
        <v>0.26829999999999998</v>
      </c>
      <c r="L65" s="10">
        <v>4.7</v>
      </c>
    </row>
    <row r="66" spans="1:12" ht="15" customHeight="1" x14ac:dyDescent="0.3">
      <c r="A66" s="4" t="s">
        <v>123</v>
      </c>
      <c r="B66" s="5">
        <v>45788</v>
      </c>
      <c r="C66" s="4" t="s">
        <v>59</v>
      </c>
      <c r="D66" s="4" t="s">
        <v>42</v>
      </c>
      <c r="E66" s="4" t="s">
        <v>45</v>
      </c>
      <c r="F66" s="6">
        <v>4899.28</v>
      </c>
      <c r="G66" s="4">
        <v>7</v>
      </c>
      <c r="H66" s="7">
        <v>0</v>
      </c>
      <c r="I66" s="8">
        <f t="shared" ref="I66:I97" si="4">ROUND(F66*G66*(1-H66/100),2)</f>
        <v>34294.959999999999</v>
      </c>
      <c r="J66" s="8">
        <f t="shared" ref="J66:J97" si="5">ROUND(I66*K66,2)</f>
        <v>8378.26</v>
      </c>
      <c r="K66" s="9">
        <v>0.24429999999999999</v>
      </c>
      <c r="L66" s="10">
        <v>4.9000000000000004</v>
      </c>
    </row>
    <row r="67" spans="1:12" ht="15" customHeight="1" x14ac:dyDescent="0.3">
      <c r="A67" s="4" t="s">
        <v>124</v>
      </c>
      <c r="B67" s="5">
        <v>45820</v>
      </c>
      <c r="C67" s="4" t="s">
        <v>34</v>
      </c>
      <c r="D67" s="4" t="s">
        <v>35</v>
      </c>
      <c r="E67" s="4" t="s">
        <v>71</v>
      </c>
      <c r="F67" s="6">
        <v>1249.32</v>
      </c>
      <c r="G67" s="4">
        <v>2</v>
      </c>
      <c r="H67" s="7">
        <v>0</v>
      </c>
      <c r="I67" s="8">
        <f t="shared" si="4"/>
        <v>2498.64</v>
      </c>
      <c r="J67" s="8">
        <f t="shared" si="5"/>
        <v>533.71</v>
      </c>
      <c r="K67" s="9">
        <v>0.21360000000000001</v>
      </c>
      <c r="L67" s="10">
        <v>4.4000000000000004</v>
      </c>
    </row>
    <row r="68" spans="1:12" ht="15" customHeight="1" x14ac:dyDescent="0.3">
      <c r="A68" s="4" t="s">
        <v>125</v>
      </c>
      <c r="B68" s="5">
        <v>45851</v>
      </c>
      <c r="C68" s="4" t="s">
        <v>51</v>
      </c>
      <c r="D68" s="4" t="s">
        <v>42</v>
      </c>
      <c r="E68" s="4" t="s">
        <v>65</v>
      </c>
      <c r="F68" s="6">
        <v>6407.53</v>
      </c>
      <c r="G68" s="4">
        <v>5</v>
      </c>
      <c r="H68" s="7">
        <v>0</v>
      </c>
      <c r="I68" s="8">
        <f t="shared" si="4"/>
        <v>32037.65</v>
      </c>
      <c r="J68" s="8">
        <f t="shared" si="5"/>
        <v>4424.3999999999996</v>
      </c>
      <c r="K68" s="9">
        <v>0.1381</v>
      </c>
      <c r="L68" s="10">
        <v>4.2</v>
      </c>
    </row>
    <row r="69" spans="1:12" ht="15" customHeight="1" x14ac:dyDescent="0.3">
      <c r="A69" s="4" t="s">
        <v>126</v>
      </c>
      <c r="B69" s="5">
        <v>45883</v>
      </c>
      <c r="C69" s="4" t="s">
        <v>54</v>
      </c>
      <c r="D69" s="4" t="s">
        <v>42</v>
      </c>
      <c r="E69" s="4" t="s">
        <v>73</v>
      </c>
      <c r="F69" s="6">
        <v>4880.9399999999996</v>
      </c>
      <c r="G69" s="4">
        <v>3</v>
      </c>
      <c r="H69" s="7">
        <v>10</v>
      </c>
      <c r="I69" s="8">
        <f t="shared" si="4"/>
        <v>13178.54</v>
      </c>
      <c r="J69" s="8">
        <f t="shared" si="5"/>
        <v>3071.92</v>
      </c>
      <c r="K69" s="9">
        <v>0.2331</v>
      </c>
      <c r="L69" s="10">
        <v>4.5</v>
      </c>
    </row>
    <row r="70" spans="1:12" ht="15" customHeight="1" x14ac:dyDescent="0.3">
      <c r="A70" s="4" t="s">
        <v>127</v>
      </c>
      <c r="B70" s="5">
        <v>45915</v>
      </c>
      <c r="C70" s="4" t="s">
        <v>34</v>
      </c>
      <c r="D70" s="4" t="s">
        <v>42</v>
      </c>
      <c r="E70" s="4" t="s">
        <v>43</v>
      </c>
      <c r="F70" s="6">
        <v>311.25</v>
      </c>
      <c r="G70" s="4">
        <v>4</v>
      </c>
      <c r="H70" s="7">
        <v>15</v>
      </c>
      <c r="I70" s="8">
        <f t="shared" si="4"/>
        <v>1058.25</v>
      </c>
      <c r="J70" s="8">
        <f t="shared" si="5"/>
        <v>177.05</v>
      </c>
      <c r="K70" s="9">
        <v>0.1673</v>
      </c>
      <c r="L70" s="10">
        <v>4.4000000000000004</v>
      </c>
    </row>
    <row r="71" spans="1:12" ht="15" customHeight="1" x14ac:dyDescent="0.3">
      <c r="A71" s="4" t="s">
        <v>128</v>
      </c>
      <c r="B71" s="5">
        <v>45946</v>
      </c>
      <c r="C71" s="4" t="s">
        <v>51</v>
      </c>
      <c r="D71" s="4" t="s">
        <v>35</v>
      </c>
      <c r="E71" s="4" t="s">
        <v>91</v>
      </c>
      <c r="F71" s="6">
        <v>3627.8</v>
      </c>
      <c r="G71" s="4">
        <v>3</v>
      </c>
      <c r="H71" s="7">
        <v>5</v>
      </c>
      <c r="I71" s="8">
        <f t="shared" si="4"/>
        <v>10339.23</v>
      </c>
      <c r="J71" s="8">
        <f t="shared" si="5"/>
        <v>2522.77</v>
      </c>
      <c r="K71" s="9">
        <v>0.24399999999999999</v>
      </c>
      <c r="L71" s="10">
        <v>4.8</v>
      </c>
    </row>
    <row r="72" spans="1:12" ht="15" customHeight="1" x14ac:dyDescent="0.3">
      <c r="A72" s="4" t="s">
        <v>129</v>
      </c>
      <c r="B72" s="5">
        <v>45978</v>
      </c>
      <c r="C72" s="4" t="s">
        <v>59</v>
      </c>
      <c r="D72" s="4" t="s">
        <v>42</v>
      </c>
      <c r="E72" s="4" t="s">
        <v>55</v>
      </c>
      <c r="F72" s="6">
        <v>338.29</v>
      </c>
      <c r="G72" s="4">
        <v>6</v>
      </c>
      <c r="H72" s="7">
        <v>5</v>
      </c>
      <c r="I72" s="8">
        <f t="shared" si="4"/>
        <v>1928.25</v>
      </c>
      <c r="J72" s="8">
        <f t="shared" si="5"/>
        <v>353.45</v>
      </c>
      <c r="K72" s="9">
        <v>0.18329999999999999</v>
      </c>
      <c r="L72" s="10">
        <v>4.2</v>
      </c>
    </row>
    <row r="73" spans="1:12" ht="15" customHeight="1" x14ac:dyDescent="0.3">
      <c r="A73" s="4" t="s">
        <v>130</v>
      </c>
      <c r="B73" s="5">
        <v>46009</v>
      </c>
      <c r="C73" s="4" t="s">
        <v>59</v>
      </c>
      <c r="D73" s="4" t="s">
        <v>35</v>
      </c>
      <c r="E73" s="4" t="s">
        <v>80</v>
      </c>
      <c r="F73" s="6">
        <v>5567.54</v>
      </c>
      <c r="G73" s="4">
        <v>5</v>
      </c>
      <c r="H73" s="7">
        <v>5</v>
      </c>
      <c r="I73" s="8">
        <f t="shared" si="4"/>
        <v>26445.82</v>
      </c>
      <c r="J73" s="8">
        <f t="shared" si="5"/>
        <v>4583.0600000000004</v>
      </c>
      <c r="K73" s="9">
        <v>0.17330000000000001</v>
      </c>
      <c r="L73" s="10">
        <v>4.3</v>
      </c>
    </row>
    <row r="74" spans="1:12" ht="15" customHeight="1" x14ac:dyDescent="0.3">
      <c r="A74" s="4" t="s">
        <v>131</v>
      </c>
      <c r="B74" s="5">
        <v>45676</v>
      </c>
      <c r="C74" s="4" t="s">
        <v>38</v>
      </c>
      <c r="D74" s="4" t="s">
        <v>48</v>
      </c>
      <c r="E74" s="4" t="s">
        <v>49</v>
      </c>
      <c r="F74" s="6">
        <v>1740.72</v>
      </c>
      <c r="G74" s="4">
        <v>1</v>
      </c>
      <c r="H74" s="7">
        <v>10</v>
      </c>
      <c r="I74" s="8">
        <f t="shared" si="4"/>
        <v>1566.65</v>
      </c>
      <c r="J74" s="8">
        <f t="shared" si="5"/>
        <v>313.64</v>
      </c>
      <c r="K74" s="9">
        <v>0.20019999999999999</v>
      </c>
      <c r="L74" s="10">
        <v>4.8</v>
      </c>
    </row>
    <row r="75" spans="1:12" ht="15" customHeight="1" x14ac:dyDescent="0.3">
      <c r="A75" s="4" t="s">
        <v>132</v>
      </c>
      <c r="B75" s="5">
        <v>45708</v>
      </c>
      <c r="C75" s="4" t="s">
        <v>59</v>
      </c>
      <c r="D75" s="4" t="s">
        <v>48</v>
      </c>
      <c r="E75" s="4" t="s">
        <v>101</v>
      </c>
      <c r="F75" s="6">
        <v>275.33999999999997</v>
      </c>
      <c r="G75" s="4">
        <v>2</v>
      </c>
      <c r="H75" s="7">
        <v>15</v>
      </c>
      <c r="I75" s="8">
        <f t="shared" si="4"/>
        <v>468.08</v>
      </c>
      <c r="J75" s="8">
        <f t="shared" si="5"/>
        <v>86.13</v>
      </c>
      <c r="K75" s="9">
        <v>0.184</v>
      </c>
      <c r="L75" s="10">
        <v>4.5</v>
      </c>
    </row>
    <row r="76" spans="1:12" ht="15" customHeight="1" x14ac:dyDescent="0.3">
      <c r="A76" s="4" t="s">
        <v>133</v>
      </c>
      <c r="B76" s="5">
        <v>45737</v>
      </c>
      <c r="C76" s="4" t="s">
        <v>34</v>
      </c>
      <c r="D76" s="4" t="s">
        <v>35</v>
      </c>
      <c r="E76" s="4" t="s">
        <v>94</v>
      </c>
      <c r="F76" s="6">
        <v>6030.08</v>
      </c>
      <c r="G76" s="4">
        <v>4</v>
      </c>
      <c r="H76" s="7">
        <v>15</v>
      </c>
      <c r="I76" s="8">
        <f t="shared" si="4"/>
        <v>20502.27</v>
      </c>
      <c r="J76" s="8">
        <f t="shared" si="5"/>
        <v>4885.6899999999996</v>
      </c>
      <c r="K76" s="9">
        <v>0.23830000000000001</v>
      </c>
      <c r="L76" s="10">
        <v>4.2</v>
      </c>
    </row>
    <row r="77" spans="1:12" ht="15" customHeight="1" x14ac:dyDescent="0.3">
      <c r="A77" s="4" t="s">
        <v>134</v>
      </c>
      <c r="B77" s="5">
        <v>45769</v>
      </c>
      <c r="C77" s="4" t="s">
        <v>54</v>
      </c>
      <c r="D77" s="4" t="s">
        <v>48</v>
      </c>
      <c r="E77" s="4" t="s">
        <v>101</v>
      </c>
      <c r="F77" s="6">
        <v>2223.7199999999998</v>
      </c>
      <c r="G77" s="4">
        <v>8</v>
      </c>
      <c r="H77" s="7">
        <v>5</v>
      </c>
      <c r="I77" s="8">
        <f t="shared" si="4"/>
        <v>16900.27</v>
      </c>
      <c r="J77" s="8">
        <f t="shared" si="5"/>
        <v>2720.94</v>
      </c>
      <c r="K77" s="9">
        <v>0.161</v>
      </c>
      <c r="L77" s="10">
        <v>4.3</v>
      </c>
    </row>
    <row r="78" spans="1:12" ht="15" customHeight="1" x14ac:dyDescent="0.3">
      <c r="A78" s="4" t="s">
        <v>135</v>
      </c>
      <c r="B78" s="5">
        <v>45800</v>
      </c>
      <c r="C78" s="4" t="s">
        <v>38</v>
      </c>
      <c r="D78" s="4" t="s">
        <v>42</v>
      </c>
      <c r="E78" s="4" t="s">
        <v>43</v>
      </c>
      <c r="F78" s="6">
        <v>4869.03</v>
      </c>
      <c r="G78" s="4">
        <v>2</v>
      </c>
      <c r="H78" s="7">
        <v>10</v>
      </c>
      <c r="I78" s="8">
        <f t="shared" si="4"/>
        <v>8764.25</v>
      </c>
      <c r="J78" s="8">
        <f t="shared" si="5"/>
        <v>2471.52</v>
      </c>
      <c r="K78" s="9">
        <v>0.28199999999999997</v>
      </c>
      <c r="L78" s="10">
        <v>3.9</v>
      </c>
    </row>
    <row r="79" spans="1:12" ht="15" customHeight="1" x14ac:dyDescent="0.3">
      <c r="A79" s="4" t="s">
        <v>136</v>
      </c>
      <c r="B79" s="5">
        <v>45832</v>
      </c>
      <c r="C79" s="4" t="s">
        <v>59</v>
      </c>
      <c r="D79" s="4" t="s">
        <v>48</v>
      </c>
      <c r="E79" s="4" t="s">
        <v>137</v>
      </c>
      <c r="F79" s="6">
        <v>580.25</v>
      </c>
      <c r="G79" s="4">
        <v>7</v>
      </c>
      <c r="H79" s="7">
        <v>10</v>
      </c>
      <c r="I79" s="8">
        <f t="shared" si="4"/>
        <v>3655.58</v>
      </c>
      <c r="J79" s="8">
        <f t="shared" si="5"/>
        <v>890.86</v>
      </c>
      <c r="K79" s="9">
        <v>0.2437</v>
      </c>
      <c r="L79" s="10">
        <v>4.0999999999999996</v>
      </c>
    </row>
    <row r="80" spans="1:12" ht="15" customHeight="1" x14ac:dyDescent="0.3">
      <c r="A80" s="4" t="s">
        <v>138</v>
      </c>
      <c r="B80" s="5">
        <v>45863</v>
      </c>
      <c r="C80" s="4" t="s">
        <v>59</v>
      </c>
      <c r="D80" s="4" t="s">
        <v>42</v>
      </c>
      <c r="E80" s="4" t="s">
        <v>65</v>
      </c>
      <c r="F80" s="6">
        <v>823.54</v>
      </c>
      <c r="G80" s="4">
        <v>8</v>
      </c>
      <c r="H80" s="7">
        <v>5</v>
      </c>
      <c r="I80" s="8">
        <f t="shared" si="4"/>
        <v>6258.9</v>
      </c>
      <c r="J80" s="8">
        <f t="shared" si="5"/>
        <v>1191.69</v>
      </c>
      <c r="K80" s="9">
        <v>0.19040000000000001</v>
      </c>
      <c r="L80" s="10">
        <v>4.3</v>
      </c>
    </row>
    <row r="81" spans="1:12" ht="15" customHeight="1" x14ac:dyDescent="0.3">
      <c r="A81" s="4" t="s">
        <v>139</v>
      </c>
      <c r="B81" s="5">
        <v>45895</v>
      </c>
      <c r="C81" s="4" t="s">
        <v>38</v>
      </c>
      <c r="D81" s="4" t="s">
        <v>35</v>
      </c>
      <c r="E81" s="4" t="s">
        <v>36</v>
      </c>
      <c r="F81" s="6">
        <v>6098.31</v>
      </c>
      <c r="G81" s="4">
        <v>5</v>
      </c>
      <c r="H81" s="7">
        <v>0</v>
      </c>
      <c r="I81" s="8">
        <f t="shared" si="4"/>
        <v>30491.55</v>
      </c>
      <c r="J81" s="8">
        <f t="shared" si="5"/>
        <v>5677.53</v>
      </c>
      <c r="K81" s="9">
        <v>0.1862</v>
      </c>
      <c r="L81" s="10">
        <v>4.5999999999999996</v>
      </c>
    </row>
    <row r="82" spans="1:12" ht="15" customHeight="1" x14ac:dyDescent="0.3">
      <c r="A82" s="4" t="s">
        <v>140</v>
      </c>
      <c r="B82" s="5">
        <v>45927</v>
      </c>
      <c r="C82" s="4" t="s">
        <v>54</v>
      </c>
      <c r="D82" s="4" t="s">
        <v>42</v>
      </c>
      <c r="E82" s="4" t="s">
        <v>45</v>
      </c>
      <c r="F82" s="6">
        <v>3709.35</v>
      </c>
      <c r="G82" s="4">
        <v>10</v>
      </c>
      <c r="H82" s="7">
        <v>10</v>
      </c>
      <c r="I82" s="8">
        <f t="shared" si="4"/>
        <v>33384.15</v>
      </c>
      <c r="J82" s="8">
        <f t="shared" si="5"/>
        <v>9828.2900000000009</v>
      </c>
      <c r="K82" s="9">
        <v>0.2944</v>
      </c>
      <c r="L82" s="10">
        <v>4.9000000000000004</v>
      </c>
    </row>
    <row r="83" spans="1:12" ht="15" customHeight="1" x14ac:dyDescent="0.3">
      <c r="A83" s="4" t="s">
        <v>141</v>
      </c>
      <c r="B83" s="5">
        <v>45931</v>
      </c>
      <c r="C83" s="4" t="s">
        <v>41</v>
      </c>
      <c r="D83" s="4" t="s">
        <v>42</v>
      </c>
      <c r="E83" s="4" t="s">
        <v>65</v>
      </c>
      <c r="F83" s="6">
        <v>2616.31</v>
      </c>
      <c r="G83" s="4">
        <v>5</v>
      </c>
      <c r="H83" s="7">
        <v>10</v>
      </c>
      <c r="I83" s="8">
        <f t="shared" si="4"/>
        <v>11773.4</v>
      </c>
      <c r="J83" s="8">
        <f t="shared" si="5"/>
        <v>2404.13</v>
      </c>
      <c r="K83" s="9">
        <v>0.20419999999999999</v>
      </c>
      <c r="L83" s="10">
        <v>3.9</v>
      </c>
    </row>
    <row r="84" spans="1:12" ht="15" customHeight="1" x14ac:dyDescent="0.3">
      <c r="A84" s="4" t="s">
        <v>142</v>
      </c>
      <c r="B84" s="5">
        <v>45963</v>
      </c>
      <c r="C84" s="4" t="s">
        <v>51</v>
      </c>
      <c r="D84" s="4" t="s">
        <v>42</v>
      </c>
      <c r="E84" s="4" t="s">
        <v>65</v>
      </c>
      <c r="F84" s="6">
        <v>4340.78</v>
      </c>
      <c r="G84" s="4">
        <v>1</v>
      </c>
      <c r="H84" s="7">
        <v>0</v>
      </c>
      <c r="I84" s="8">
        <f t="shared" si="4"/>
        <v>4340.78</v>
      </c>
      <c r="J84" s="8">
        <f t="shared" si="5"/>
        <v>1382.54</v>
      </c>
      <c r="K84" s="9">
        <v>0.31850000000000001</v>
      </c>
      <c r="L84" s="10">
        <v>4.3</v>
      </c>
    </row>
    <row r="85" spans="1:12" ht="15" customHeight="1" x14ac:dyDescent="0.3">
      <c r="A85" s="4" t="s">
        <v>143</v>
      </c>
      <c r="B85" s="5">
        <v>45994</v>
      </c>
      <c r="C85" s="4" t="s">
        <v>54</v>
      </c>
      <c r="D85" s="4" t="s">
        <v>48</v>
      </c>
      <c r="E85" s="4" t="s">
        <v>137</v>
      </c>
      <c r="F85" s="6">
        <v>543.92999999999995</v>
      </c>
      <c r="G85" s="4">
        <v>8</v>
      </c>
      <c r="H85" s="7">
        <v>5</v>
      </c>
      <c r="I85" s="8">
        <f t="shared" si="4"/>
        <v>4133.87</v>
      </c>
      <c r="J85" s="8">
        <f t="shared" si="5"/>
        <v>735</v>
      </c>
      <c r="K85" s="9">
        <v>0.17780000000000001</v>
      </c>
      <c r="L85" s="10">
        <v>4.5999999999999996</v>
      </c>
    </row>
    <row r="86" spans="1:12" ht="15" customHeight="1" x14ac:dyDescent="0.3">
      <c r="A86" s="4" t="s">
        <v>144</v>
      </c>
      <c r="B86" s="5">
        <v>45661</v>
      </c>
      <c r="C86" s="4" t="s">
        <v>51</v>
      </c>
      <c r="D86" s="4" t="s">
        <v>42</v>
      </c>
      <c r="E86" s="4" t="s">
        <v>45</v>
      </c>
      <c r="F86" s="6">
        <v>541.28</v>
      </c>
      <c r="G86" s="4">
        <v>5</v>
      </c>
      <c r="H86" s="7">
        <v>15</v>
      </c>
      <c r="I86" s="8">
        <f t="shared" si="4"/>
        <v>2300.44</v>
      </c>
      <c r="J86" s="8">
        <f t="shared" si="5"/>
        <v>712.22</v>
      </c>
      <c r="K86" s="9">
        <v>0.30959999999999999</v>
      </c>
      <c r="L86" s="10">
        <v>4.7</v>
      </c>
    </row>
    <row r="87" spans="1:12" ht="15" customHeight="1" x14ac:dyDescent="0.3">
      <c r="A87" s="4" t="s">
        <v>145</v>
      </c>
      <c r="B87" s="5">
        <v>45693</v>
      </c>
      <c r="C87" s="4" t="s">
        <v>54</v>
      </c>
      <c r="D87" s="4" t="s">
        <v>48</v>
      </c>
      <c r="E87" s="4" t="s">
        <v>101</v>
      </c>
      <c r="F87" s="6">
        <v>597.03</v>
      </c>
      <c r="G87" s="4">
        <v>9</v>
      </c>
      <c r="H87" s="7">
        <v>15</v>
      </c>
      <c r="I87" s="8">
        <f t="shared" si="4"/>
        <v>4567.28</v>
      </c>
      <c r="J87" s="8">
        <f t="shared" si="5"/>
        <v>746.29</v>
      </c>
      <c r="K87" s="9">
        <v>0.16339999999999999</v>
      </c>
      <c r="L87" s="10">
        <v>4.5</v>
      </c>
    </row>
    <row r="88" spans="1:12" ht="15" customHeight="1" x14ac:dyDescent="0.3">
      <c r="A88" s="4" t="s">
        <v>146</v>
      </c>
      <c r="B88" s="5">
        <v>45722</v>
      </c>
      <c r="C88" s="4" t="s">
        <v>51</v>
      </c>
      <c r="D88" s="4" t="s">
        <v>35</v>
      </c>
      <c r="E88" s="4" t="s">
        <v>94</v>
      </c>
      <c r="F88" s="6">
        <v>5503.73</v>
      </c>
      <c r="G88" s="4">
        <v>2</v>
      </c>
      <c r="H88" s="7">
        <v>5</v>
      </c>
      <c r="I88" s="8">
        <f t="shared" si="4"/>
        <v>10457.09</v>
      </c>
      <c r="J88" s="8">
        <f t="shared" si="5"/>
        <v>2184.4899999999998</v>
      </c>
      <c r="K88" s="9">
        <v>0.2089</v>
      </c>
      <c r="L88" s="10">
        <v>4.5</v>
      </c>
    </row>
    <row r="89" spans="1:12" ht="15" customHeight="1" x14ac:dyDescent="0.3">
      <c r="A89" s="4" t="s">
        <v>147</v>
      </c>
      <c r="B89" s="5">
        <v>45754</v>
      </c>
      <c r="C89" s="4" t="s">
        <v>54</v>
      </c>
      <c r="D89" s="4" t="s">
        <v>42</v>
      </c>
      <c r="E89" s="4" t="s">
        <v>43</v>
      </c>
      <c r="F89" s="6">
        <v>2798.29</v>
      </c>
      <c r="G89" s="4">
        <v>8</v>
      </c>
      <c r="H89" s="7">
        <v>5</v>
      </c>
      <c r="I89" s="8">
        <f t="shared" si="4"/>
        <v>21267</v>
      </c>
      <c r="J89" s="8">
        <f t="shared" si="5"/>
        <v>4517.1099999999997</v>
      </c>
      <c r="K89" s="9">
        <v>0.21240000000000001</v>
      </c>
      <c r="L89" s="10">
        <v>3.7</v>
      </c>
    </row>
    <row r="90" spans="1:12" ht="15" customHeight="1" x14ac:dyDescent="0.3">
      <c r="A90" s="4" t="s">
        <v>148</v>
      </c>
      <c r="B90" s="5">
        <v>45785</v>
      </c>
      <c r="C90" s="4" t="s">
        <v>38</v>
      </c>
      <c r="D90" s="4" t="s">
        <v>35</v>
      </c>
      <c r="E90" s="4" t="s">
        <v>39</v>
      </c>
      <c r="F90" s="6">
        <v>6067.37</v>
      </c>
      <c r="G90" s="4">
        <v>10</v>
      </c>
      <c r="H90" s="7">
        <v>5</v>
      </c>
      <c r="I90" s="8">
        <f t="shared" si="4"/>
        <v>57640.02</v>
      </c>
      <c r="J90" s="8">
        <f t="shared" si="5"/>
        <v>9061.01</v>
      </c>
      <c r="K90" s="9">
        <v>0.15720000000000001</v>
      </c>
      <c r="L90" s="10">
        <v>3.9</v>
      </c>
    </row>
    <row r="91" spans="1:12" ht="15" customHeight="1" x14ac:dyDescent="0.3">
      <c r="A91" s="4" t="s">
        <v>149</v>
      </c>
      <c r="B91" s="5">
        <v>45817</v>
      </c>
      <c r="C91" s="4" t="s">
        <v>59</v>
      </c>
      <c r="D91" s="4" t="s">
        <v>35</v>
      </c>
      <c r="E91" s="4" t="s">
        <v>36</v>
      </c>
      <c r="F91" s="6">
        <v>3176.76</v>
      </c>
      <c r="G91" s="4">
        <v>4</v>
      </c>
      <c r="H91" s="7">
        <v>0</v>
      </c>
      <c r="I91" s="8">
        <f t="shared" si="4"/>
        <v>12707.04</v>
      </c>
      <c r="J91" s="8">
        <f t="shared" si="5"/>
        <v>4015.42</v>
      </c>
      <c r="K91" s="9">
        <v>0.316</v>
      </c>
      <c r="L91" s="10">
        <v>4.2</v>
      </c>
    </row>
    <row r="92" spans="1:12" ht="15" customHeight="1" x14ac:dyDescent="0.3">
      <c r="A92" s="4" t="s">
        <v>150</v>
      </c>
      <c r="B92" s="5">
        <v>45848</v>
      </c>
      <c r="C92" s="4" t="s">
        <v>54</v>
      </c>
      <c r="D92" s="4" t="s">
        <v>42</v>
      </c>
      <c r="E92" s="4" t="s">
        <v>73</v>
      </c>
      <c r="F92" s="6">
        <v>792.82</v>
      </c>
      <c r="G92" s="4">
        <v>1</v>
      </c>
      <c r="H92" s="7">
        <v>10</v>
      </c>
      <c r="I92" s="8">
        <f t="shared" si="4"/>
        <v>713.54</v>
      </c>
      <c r="J92" s="8">
        <f t="shared" si="5"/>
        <v>121.94</v>
      </c>
      <c r="K92" s="9">
        <v>0.1709</v>
      </c>
      <c r="L92" s="10">
        <v>3.7</v>
      </c>
    </row>
    <row r="93" spans="1:12" ht="15" customHeight="1" x14ac:dyDescent="0.3">
      <c r="A93" s="4" t="s">
        <v>151</v>
      </c>
      <c r="B93" s="5">
        <v>45880</v>
      </c>
      <c r="C93" s="4" t="s">
        <v>41</v>
      </c>
      <c r="D93" s="4" t="s">
        <v>42</v>
      </c>
      <c r="E93" s="4" t="s">
        <v>73</v>
      </c>
      <c r="F93" s="6">
        <v>4777.46</v>
      </c>
      <c r="G93" s="4">
        <v>9</v>
      </c>
      <c r="H93" s="7">
        <v>0</v>
      </c>
      <c r="I93" s="8">
        <f t="shared" si="4"/>
        <v>42997.14</v>
      </c>
      <c r="J93" s="8">
        <f t="shared" si="5"/>
        <v>13342.01</v>
      </c>
      <c r="K93" s="9">
        <v>0.31030000000000002</v>
      </c>
      <c r="L93" s="10">
        <v>4.0999999999999996</v>
      </c>
    </row>
    <row r="94" spans="1:12" ht="15" customHeight="1" x14ac:dyDescent="0.3">
      <c r="A94" s="4" t="s">
        <v>152</v>
      </c>
      <c r="B94" s="5">
        <v>45912</v>
      </c>
      <c r="C94" s="4" t="s">
        <v>59</v>
      </c>
      <c r="D94" s="4" t="s">
        <v>48</v>
      </c>
      <c r="E94" s="4" t="s">
        <v>49</v>
      </c>
      <c r="F94" s="6">
        <v>659.14</v>
      </c>
      <c r="G94" s="4">
        <v>1</v>
      </c>
      <c r="H94" s="7">
        <v>10</v>
      </c>
      <c r="I94" s="8">
        <f t="shared" si="4"/>
        <v>593.23</v>
      </c>
      <c r="J94" s="8">
        <f t="shared" si="5"/>
        <v>171.74</v>
      </c>
      <c r="K94" s="9">
        <v>0.28949999999999998</v>
      </c>
      <c r="L94" s="10">
        <v>3.7</v>
      </c>
    </row>
    <row r="95" spans="1:12" ht="15" customHeight="1" x14ac:dyDescent="0.3">
      <c r="A95" s="4" t="s">
        <v>153</v>
      </c>
      <c r="B95" s="5">
        <v>45943</v>
      </c>
      <c r="C95" s="4" t="s">
        <v>54</v>
      </c>
      <c r="D95" s="4" t="s">
        <v>35</v>
      </c>
      <c r="E95" s="4" t="s">
        <v>80</v>
      </c>
      <c r="F95" s="6">
        <v>6082.67</v>
      </c>
      <c r="G95" s="4">
        <v>7</v>
      </c>
      <c r="H95" s="7">
        <v>0</v>
      </c>
      <c r="I95" s="8">
        <f t="shared" si="4"/>
        <v>42578.69</v>
      </c>
      <c r="J95" s="8">
        <f t="shared" si="5"/>
        <v>10295.530000000001</v>
      </c>
      <c r="K95" s="9">
        <v>0.24179999999999999</v>
      </c>
      <c r="L95" s="10">
        <v>3.7</v>
      </c>
    </row>
    <row r="96" spans="1:12" ht="15" customHeight="1" x14ac:dyDescent="0.3">
      <c r="A96" s="4" t="s">
        <v>154</v>
      </c>
      <c r="B96" s="5">
        <v>45975</v>
      </c>
      <c r="C96" s="4" t="s">
        <v>54</v>
      </c>
      <c r="D96" s="4" t="s">
        <v>48</v>
      </c>
      <c r="E96" s="4" t="s">
        <v>85</v>
      </c>
      <c r="F96" s="6">
        <v>568.34</v>
      </c>
      <c r="G96" s="4">
        <v>9</v>
      </c>
      <c r="H96" s="7">
        <v>0</v>
      </c>
      <c r="I96" s="8">
        <f t="shared" si="4"/>
        <v>5115.0600000000004</v>
      </c>
      <c r="J96" s="8">
        <f t="shared" si="5"/>
        <v>1246.54</v>
      </c>
      <c r="K96" s="9">
        <v>0.2437</v>
      </c>
      <c r="L96" s="10">
        <v>4.0999999999999996</v>
      </c>
    </row>
    <row r="97" spans="1:12" ht="15" customHeight="1" x14ac:dyDescent="0.3">
      <c r="A97" s="4" t="s">
        <v>155</v>
      </c>
      <c r="B97" s="5">
        <v>46006</v>
      </c>
      <c r="C97" s="4" t="s">
        <v>41</v>
      </c>
      <c r="D97" s="4" t="s">
        <v>35</v>
      </c>
      <c r="E97" s="4" t="s">
        <v>36</v>
      </c>
      <c r="F97" s="6">
        <v>5621.03</v>
      </c>
      <c r="G97" s="4">
        <v>10</v>
      </c>
      <c r="H97" s="7">
        <v>0</v>
      </c>
      <c r="I97" s="8">
        <f t="shared" si="4"/>
        <v>56210.3</v>
      </c>
      <c r="J97" s="8">
        <f t="shared" si="5"/>
        <v>12742.88</v>
      </c>
      <c r="K97" s="9">
        <v>0.22670000000000001</v>
      </c>
      <c r="L97" s="10">
        <v>4.2</v>
      </c>
    </row>
    <row r="98" spans="1:12" ht="15" customHeight="1" x14ac:dyDescent="0.3">
      <c r="A98" s="4" t="s">
        <v>156</v>
      </c>
      <c r="B98" s="5">
        <v>45673</v>
      </c>
      <c r="C98" s="4" t="s">
        <v>54</v>
      </c>
      <c r="D98" s="4" t="s">
        <v>35</v>
      </c>
      <c r="E98" s="4" t="s">
        <v>39</v>
      </c>
      <c r="F98" s="6">
        <v>3981.64</v>
      </c>
      <c r="G98" s="4">
        <v>10</v>
      </c>
      <c r="H98" s="7">
        <v>5</v>
      </c>
      <c r="I98" s="8">
        <f t="shared" ref="I98:I121" si="6">ROUND(F98*G98*(1-H98/100),2)</f>
        <v>37825.58</v>
      </c>
      <c r="J98" s="8">
        <f t="shared" ref="J98:J121" si="7">ROUND(I98*K98,2)</f>
        <v>7156.6</v>
      </c>
      <c r="K98" s="9">
        <v>0.18920000000000001</v>
      </c>
      <c r="L98" s="10">
        <v>4.2</v>
      </c>
    </row>
    <row r="99" spans="1:12" ht="15" customHeight="1" x14ac:dyDescent="0.3">
      <c r="A99" s="4" t="s">
        <v>157</v>
      </c>
      <c r="B99" s="5">
        <v>45705</v>
      </c>
      <c r="C99" s="4" t="s">
        <v>41</v>
      </c>
      <c r="D99" s="4" t="s">
        <v>48</v>
      </c>
      <c r="E99" s="4" t="s">
        <v>49</v>
      </c>
      <c r="F99" s="6">
        <v>210.92</v>
      </c>
      <c r="G99" s="4">
        <v>9</v>
      </c>
      <c r="H99" s="7">
        <v>15</v>
      </c>
      <c r="I99" s="8">
        <f t="shared" si="6"/>
        <v>1613.54</v>
      </c>
      <c r="J99" s="8">
        <f t="shared" si="7"/>
        <v>240.9</v>
      </c>
      <c r="K99" s="9">
        <v>0.14929999999999999</v>
      </c>
      <c r="L99" s="10">
        <v>4.5999999999999996</v>
      </c>
    </row>
    <row r="100" spans="1:12" ht="15" customHeight="1" x14ac:dyDescent="0.3">
      <c r="A100" s="4" t="s">
        <v>158</v>
      </c>
      <c r="B100" s="5">
        <v>45734</v>
      </c>
      <c r="C100" s="4" t="s">
        <v>38</v>
      </c>
      <c r="D100" s="4" t="s">
        <v>48</v>
      </c>
      <c r="E100" s="4" t="s">
        <v>85</v>
      </c>
      <c r="F100" s="6">
        <v>748.39</v>
      </c>
      <c r="G100" s="4">
        <v>1</v>
      </c>
      <c r="H100" s="7">
        <v>0</v>
      </c>
      <c r="I100" s="8">
        <f t="shared" si="6"/>
        <v>748.39</v>
      </c>
      <c r="J100" s="8">
        <f t="shared" si="7"/>
        <v>190.32</v>
      </c>
      <c r="K100" s="9">
        <v>0.25430000000000003</v>
      </c>
      <c r="L100" s="10">
        <v>4.9000000000000004</v>
      </c>
    </row>
    <row r="101" spans="1:12" ht="15" customHeight="1" x14ac:dyDescent="0.3">
      <c r="A101" s="4" t="s">
        <v>159</v>
      </c>
      <c r="B101" s="5">
        <v>45766</v>
      </c>
      <c r="C101" s="4" t="s">
        <v>59</v>
      </c>
      <c r="D101" s="4" t="s">
        <v>42</v>
      </c>
      <c r="E101" s="4" t="s">
        <v>65</v>
      </c>
      <c r="F101" s="6">
        <v>2030.05</v>
      </c>
      <c r="G101" s="4">
        <v>7</v>
      </c>
      <c r="H101" s="7">
        <v>10</v>
      </c>
      <c r="I101" s="8">
        <f t="shared" si="6"/>
        <v>12789.32</v>
      </c>
      <c r="J101" s="8">
        <f t="shared" si="7"/>
        <v>3059.21</v>
      </c>
      <c r="K101" s="9">
        <v>0.2392</v>
      </c>
      <c r="L101" s="10">
        <v>4.5</v>
      </c>
    </row>
    <row r="102" spans="1:12" ht="15" customHeight="1" x14ac:dyDescent="0.3">
      <c r="A102" s="4" t="s">
        <v>160</v>
      </c>
      <c r="B102" s="5">
        <v>45797</v>
      </c>
      <c r="C102" s="4" t="s">
        <v>41</v>
      </c>
      <c r="D102" s="4" t="s">
        <v>48</v>
      </c>
      <c r="E102" s="4" t="s">
        <v>85</v>
      </c>
      <c r="F102" s="6">
        <v>1128.02</v>
      </c>
      <c r="G102" s="4">
        <v>4</v>
      </c>
      <c r="H102" s="7">
        <v>5</v>
      </c>
      <c r="I102" s="8">
        <f t="shared" si="6"/>
        <v>4286.4799999999996</v>
      </c>
      <c r="J102" s="8">
        <f t="shared" si="7"/>
        <v>732.99</v>
      </c>
      <c r="K102" s="9">
        <v>0.17100000000000001</v>
      </c>
      <c r="L102" s="10">
        <v>4.5999999999999996</v>
      </c>
    </row>
    <row r="103" spans="1:12" ht="15" customHeight="1" x14ac:dyDescent="0.3">
      <c r="A103" s="4" t="s">
        <v>161</v>
      </c>
      <c r="B103" s="5">
        <v>45829</v>
      </c>
      <c r="C103" s="4" t="s">
        <v>54</v>
      </c>
      <c r="D103" s="4" t="s">
        <v>42</v>
      </c>
      <c r="E103" s="4" t="s">
        <v>55</v>
      </c>
      <c r="F103" s="6">
        <v>980.74</v>
      </c>
      <c r="G103" s="4">
        <v>6</v>
      </c>
      <c r="H103" s="7">
        <v>0</v>
      </c>
      <c r="I103" s="8">
        <f t="shared" si="6"/>
        <v>5884.44</v>
      </c>
      <c r="J103" s="8">
        <f t="shared" si="7"/>
        <v>1785.34</v>
      </c>
      <c r="K103" s="9">
        <v>0.3034</v>
      </c>
      <c r="L103" s="10">
        <v>3.8</v>
      </c>
    </row>
    <row r="104" spans="1:12" ht="15" customHeight="1" x14ac:dyDescent="0.3">
      <c r="A104" s="4" t="s">
        <v>162</v>
      </c>
      <c r="B104" s="5">
        <v>45860</v>
      </c>
      <c r="C104" s="4" t="s">
        <v>51</v>
      </c>
      <c r="D104" s="4" t="s">
        <v>35</v>
      </c>
      <c r="E104" s="4" t="s">
        <v>39</v>
      </c>
      <c r="F104" s="6">
        <v>2467.73</v>
      </c>
      <c r="G104" s="4">
        <v>8</v>
      </c>
      <c r="H104" s="7">
        <v>5</v>
      </c>
      <c r="I104" s="8">
        <f t="shared" si="6"/>
        <v>18754.75</v>
      </c>
      <c r="J104" s="8">
        <f t="shared" si="7"/>
        <v>2766.33</v>
      </c>
      <c r="K104" s="9">
        <v>0.14749999999999999</v>
      </c>
      <c r="L104" s="10">
        <v>3.7</v>
      </c>
    </row>
    <row r="105" spans="1:12" ht="15" customHeight="1" x14ac:dyDescent="0.3">
      <c r="A105" s="4" t="s">
        <v>163</v>
      </c>
      <c r="B105" s="5">
        <v>45892</v>
      </c>
      <c r="C105" s="4" t="s">
        <v>51</v>
      </c>
      <c r="D105" s="4" t="s">
        <v>42</v>
      </c>
      <c r="E105" s="4" t="s">
        <v>45</v>
      </c>
      <c r="F105" s="6">
        <v>4087.68</v>
      </c>
      <c r="G105" s="4">
        <v>1</v>
      </c>
      <c r="H105" s="7">
        <v>15</v>
      </c>
      <c r="I105" s="8">
        <f t="shared" si="6"/>
        <v>3474.53</v>
      </c>
      <c r="J105" s="8">
        <f t="shared" si="7"/>
        <v>996.15</v>
      </c>
      <c r="K105" s="9">
        <v>0.28670000000000001</v>
      </c>
      <c r="L105" s="10">
        <v>4.5</v>
      </c>
    </row>
    <row r="106" spans="1:12" ht="15" customHeight="1" x14ac:dyDescent="0.3">
      <c r="A106" s="4" t="s">
        <v>164</v>
      </c>
      <c r="B106" s="5">
        <v>45924</v>
      </c>
      <c r="C106" s="4" t="s">
        <v>38</v>
      </c>
      <c r="D106" s="4" t="s">
        <v>42</v>
      </c>
      <c r="E106" s="4" t="s">
        <v>43</v>
      </c>
      <c r="F106" s="6">
        <v>4568.79</v>
      </c>
      <c r="G106" s="4">
        <v>8</v>
      </c>
      <c r="H106" s="7">
        <v>0</v>
      </c>
      <c r="I106" s="8">
        <f t="shared" si="6"/>
        <v>36550.32</v>
      </c>
      <c r="J106" s="8">
        <f t="shared" si="7"/>
        <v>10179.26</v>
      </c>
      <c r="K106" s="9">
        <v>0.27850000000000003</v>
      </c>
      <c r="L106" s="10">
        <v>4.3</v>
      </c>
    </row>
    <row r="107" spans="1:12" ht="15" customHeight="1" x14ac:dyDescent="0.3">
      <c r="A107" s="4" t="s">
        <v>165</v>
      </c>
      <c r="B107" s="5">
        <v>45955</v>
      </c>
      <c r="C107" s="4" t="s">
        <v>41</v>
      </c>
      <c r="D107" s="4" t="s">
        <v>35</v>
      </c>
      <c r="E107" s="4" t="s">
        <v>36</v>
      </c>
      <c r="F107" s="6">
        <v>1237.97</v>
      </c>
      <c r="G107" s="4">
        <v>5</v>
      </c>
      <c r="H107" s="7">
        <v>0</v>
      </c>
      <c r="I107" s="8">
        <f t="shared" si="6"/>
        <v>6189.85</v>
      </c>
      <c r="J107" s="8">
        <f t="shared" si="7"/>
        <v>1285.01</v>
      </c>
      <c r="K107" s="9">
        <v>0.20760000000000001</v>
      </c>
      <c r="L107" s="10">
        <v>4.5999999999999996</v>
      </c>
    </row>
    <row r="108" spans="1:12" ht="15" customHeight="1" x14ac:dyDescent="0.3">
      <c r="A108" s="4" t="s">
        <v>166</v>
      </c>
      <c r="B108" s="5">
        <v>45987</v>
      </c>
      <c r="C108" s="4" t="s">
        <v>34</v>
      </c>
      <c r="D108" s="4" t="s">
        <v>35</v>
      </c>
      <c r="E108" s="4" t="s">
        <v>91</v>
      </c>
      <c r="F108" s="6">
        <v>5351.02</v>
      </c>
      <c r="G108" s="4">
        <v>9</v>
      </c>
      <c r="H108" s="7">
        <v>15</v>
      </c>
      <c r="I108" s="8">
        <f t="shared" si="6"/>
        <v>40935.300000000003</v>
      </c>
      <c r="J108" s="8">
        <f t="shared" si="7"/>
        <v>5272.47</v>
      </c>
      <c r="K108" s="9">
        <v>0.1288</v>
      </c>
      <c r="L108" s="10">
        <v>4.5</v>
      </c>
    </row>
    <row r="109" spans="1:12" ht="15" customHeight="1" x14ac:dyDescent="0.3">
      <c r="A109" s="4" t="s">
        <v>167</v>
      </c>
      <c r="B109" s="5">
        <v>46018</v>
      </c>
      <c r="C109" s="4" t="s">
        <v>51</v>
      </c>
      <c r="D109" s="4" t="s">
        <v>42</v>
      </c>
      <c r="E109" s="4" t="s">
        <v>73</v>
      </c>
      <c r="F109" s="6">
        <v>1271.3800000000001</v>
      </c>
      <c r="G109" s="4">
        <v>2</v>
      </c>
      <c r="H109" s="7">
        <v>15</v>
      </c>
      <c r="I109" s="8">
        <f t="shared" si="6"/>
        <v>2161.35</v>
      </c>
      <c r="J109" s="8">
        <f t="shared" si="7"/>
        <v>280.33</v>
      </c>
      <c r="K109" s="9">
        <v>0.12970000000000001</v>
      </c>
      <c r="L109" s="10">
        <v>4.5999999999999996</v>
      </c>
    </row>
    <row r="110" spans="1:12" ht="15" customHeight="1" x14ac:dyDescent="0.3">
      <c r="A110" s="4" t="s">
        <v>168</v>
      </c>
      <c r="B110" s="5">
        <v>45658</v>
      </c>
      <c r="C110" s="4" t="s">
        <v>34</v>
      </c>
      <c r="D110" s="4" t="s">
        <v>42</v>
      </c>
      <c r="E110" s="4" t="s">
        <v>43</v>
      </c>
      <c r="F110" s="6">
        <v>1384.61</v>
      </c>
      <c r="G110" s="4">
        <v>7</v>
      </c>
      <c r="H110" s="7">
        <v>0</v>
      </c>
      <c r="I110" s="8">
        <f t="shared" si="6"/>
        <v>9692.27</v>
      </c>
      <c r="J110" s="8">
        <f t="shared" si="7"/>
        <v>1541.07</v>
      </c>
      <c r="K110" s="9">
        <v>0.159</v>
      </c>
      <c r="L110" s="10">
        <v>4.8</v>
      </c>
    </row>
    <row r="111" spans="1:12" ht="15" customHeight="1" x14ac:dyDescent="0.3">
      <c r="A111" s="4" t="s">
        <v>169</v>
      </c>
      <c r="B111" s="5">
        <v>45690</v>
      </c>
      <c r="C111" s="4" t="s">
        <v>38</v>
      </c>
      <c r="D111" s="4" t="s">
        <v>35</v>
      </c>
      <c r="E111" s="4" t="s">
        <v>91</v>
      </c>
      <c r="F111" s="6">
        <v>3658.58</v>
      </c>
      <c r="G111" s="4">
        <v>9</v>
      </c>
      <c r="H111" s="7">
        <v>10</v>
      </c>
      <c r="I111" s="8">
        <f t="shared" si="6"/>
        <v>29634.5</v>
      </c>
      <c r="J111" s="8">
        <f t="shared" si="7"/>
        <v>8641.42</v>
      </c>
      <c r="K111" s="9">
        <v>0.29160000000000003</v>
      </c>
      <c r="L111" s="10">
        <v>4.5999999999999996</v>
      </c>
    </row>
    <row r="112" spans="1:12" ht="15" customHeight="1" x14ac:dyDescent="0.3">
      <c r="A112" s="4" t="s">
        <v>170</v>
      </c>
      <c r="B112" s="5">
        <v>45719</v>
      </c>
      <c r="C112" s="4" t="s">
        <v>38</v>
      </c>
      <c r="D112" s="4" t="s">
        <v>42</v>
      </c>
      <c r="E112" s="4" t="s">
        <v>60</v>
      </c>
      <c r="F112" s="6">
        <v>6182.14</v>
      </c>
      <c r="G112" s="4">
        <v>6</v>
      </c>
      <c r="H112" s="7">
        <v>10</v>
      </c>
      <c r="I112" s="8">
        <f t="shared" si="6"/>
        <v>33383.56</v>
      </c>
      <c r="J112" s="8">
        <f t="shared" si="7"/>
        <v>6326.18</v>
      </c>
      <c r="K112" s="9">
        <v>0.1895</v>
      </c>
      <c r="L112" s="10">
        <v>4</v>
      </c>
    </row>
    <row r="113" spans="1:12" ht="15" customHeight="1" x14ac:dyDescent="0.3">
      <c r="A113" s="4" t="s">
        <v>171</v>
      </c>
      <c r="B113" s="5">
        <v>45751</v>
      </c>
      <c r="C113" s="4" t="s">
        <v>38</v>
      </c>
      <c r="D113" s="4" t="s">
        <v>35</v>
      </c>
      <c r="E113" s="4" t="s">
        <v>91</v>
      </c>
      <c r="F113" s="6">
        <v>2737.31</v>
      </c>
      <c r="G113" s="4">
        <v>1</v>
      </c>
      <c r="H113" s="7">
        <v>10</v>
      </c>
      <c r="I113" s="8">
        <f t="shared" si="6"/>
        <v>2463.58</v>
      </c>
      <c r="J113" s="8">
        <f t="shared" si="7"/>
        <v>764.2</v>
      </c>
      <c r="K113" s="9">
        <v>0.31019999999999998</v>
      </c>
      <c r="L113" s="10">
        <v>4.8</v>
      </c>
    </row>
    <row r="114" spans="1:12" ht="15" customHeight="1" x14ac:dyDescent="0.3">
      <c r="A114" s="4" t="s">
        <v>172</v>
      </c>
      <c r="B114" s="5">
        <v>45782</v>
      </c>
      <c r="C114" s="4" t="s">
        <v>51</v>
      </c>
      <c r="D114" s="4" t="s">
        <v>35</v>
      </c>
      <c r="E114" s="4" t="s">
        <v>71</v>
      </c>
      <c r="F114" s="6">
        <v>4789.1000000000004</v>
      </c>
      <c r="G114" s="4">
        <v>10</v>
      </c>
      <c r="H114" s="7">
        <v>10</v>
      </c>
      <c r="I114" s="8">
        <f t="shared" si="6"/>
        <v>43101.9</v>
      </c>
      <c r="J114" s="8">
        <f t="shared" si="7"/>
        <v>9542.76</v>
      </c>
      <c r="K114" s="9">
        <v>0.22140000000000001</v>
      </c>
      <c r="L114" s="10">
        <v>4.3</v>
      </c>
    </row>
    <row r="115" spans="1:12" ht="15" customHeight="1" x14ac:dyDescent="0.3">
      <c r="A115" s="4" t="s">
        <v>173</v>
      </c>
      <c r="B115" s="5">
        <v>45814</v>
      </c>
      <c r="C115" s="4" t="s">
        <v>59</v>
      </c>
      <c r="D115" s="4" t="s">
        <v>42</v>
      </c>
      <c r="E115" s="4" t="s">
        <v>65</v>
      </c>
      <c r="F115" s="6">
        <v>1085.27</v>
      </c>
      <c r="G115" s="4">
        <v>3</v>
      </c>
      <c r="H115" s="7">
        <v>10</v>
      </c>
      <c r="I115" s="8">
        <f t="shared" si="6"/>
        <v>2930.23</v>
      </c>
      <c r="J115" s="8">
        <f t="shared" si="7"/>
        <v>847.72</v>
      </c>
      <c r="K115" s="9">
        <v>0.2893</v>
      </c>
      <c r="L115" s="10">
        <v>4.0999999999999996</v>
      </c>
    </row>
    <row r="116" spans="1:12" ht="15" customHeight="1" x14ac:dyDescent="0.3">
      <c r="A116" s="4" t="s">
        <v>174</v>
      </c>
      <c r="B116" s="5">
        <v>45845</v>
      </c>
      <c r="C116" s="4" t="s">
        <v>59</v>
      </c>
      <c r="D116" s="4" t="s">
        <v>42</v>
      </c>
      <c r="E116" s="4" t="s">
        <v>45</v>
      </c>
      <c r="F116" s="6">
        <v>547.47</v>
      </c>
      <c r="G116" s="4">
        <v>1</v>
      </c>
      <c r="H116" s="7">
        <v>15</v>
      </c>
      <c r="I116" s="8">
        <f t="shared" si="6"/>
        <v>465.35</v>
      </c>
      <c r="J116" s="8">
        <f t="shared" si="7"/>
        <v>137.46</v>
      </c>
      <c r="K116" s="9">
        <v>0.2954</v>
      </c>
      <c r="L116" s="10">
        <v>4.9000000000000004</v>
      </c>
    </row>
    <row r="117" spans="1:12" ht="15" customHeight="1" x14ac:dyDescent="0.3">
      <c r="A117" s="4" t="s">
        <v>175</v>
      </c>
      <c r="B117" s="5">
        <v>45877</v>
      </c>
      <c r="C117" s="4" t="s">
        <v>59</v>
      </c>
      <c r="D117" s="4" t="s">
        <v>35</v>
      </c>
      <c r="E117" s="4" t="s">
        <v>94</v>
      </c>
      <c r="F117" s="6">
        <v>2040.94</v>
      </c>
      <c r="G117" s="4">
        <v>2</v>
      </c>
      <c r="H117" s="7">
        <v>10</v>
      </c>
      <c r="I117" s="8">
        <f t="shared" si="6"/>
        <v>3673.69</v>
      </c>
      <c r="J117" s="8">
        <f t="shared" si="7"/>
        <v>668.24</v>
      </c>
      <c r="K117" s="9">
        <v>0.18190000000000001</v>
      </c>
      <c r="L117" s="10">
        <v>4.5</v>
      </c>
    </row>
    <row r="118" spans="1:12" ht="15" customHeight="1" x14ac:dyDescent="0.3">
      <c r="A118" s="4" t="s">
        <v>176</v>
      </c>
      <c r="B118" s="5">
        <v>45909</v>
      </c>
      <c r="C118" s="4" t="s">
        <v>54</v>
      </c>
      <c r="D118" s="4" t="s">
        <v>35</v>
      </c>
      <c r="E118" s="4" t="s">
        <v>39</v>
      </c>
      <c r="F118" s="6">
        <v>6249.65</v>
      </c>
      <c r="G118" s="4">
        <v>9</v>
      </c>
      <c r="H118" s="7">
        <v>5</v>
      </c>
      <c r="I118" s="8">
        <f t="shared" si="6"/>
        <v>53434.51</v>
      </c>
      <c r="J118" s="8">
        <f t="shared" si="7"/>
        <v>16847.900000000001</v>
      </c>
      <c r="K118" s="9">
        <v>0.31530000000000002</v>
      </c>
      <c r="L118" s="10">
        <v>4.7</v>
      </c>
    </row>
    <row r="119" spans="1:12" ht="15" customHeight="1" x14ac:dyDescent="0.3">
      <c r="A119" s="4" t="s">
        <v>177</v>
      </c>
      <c r="B119" s="5">
        <v>45940</v>
      </c>
      <c r="C119" s="4" t="s">
        <v>54</v>
      </c>
      <c r="D119" s="4" t="s">
        <v>48</v>
      </c>
      <c r="E119" s="4" t="s">
        <v>85</v>
      </c>
      <c r="F119" s="6">
        <v>1432.18</v>
      </c>
      <c r="G119" s="4">
        <v>1</v>
      </c>
      <c r="H119" s="7">
        <v>0</v>
      </c>
      <c r="I119" s="8">
        <f t="shared" si="6"/>
        <v>1432.18</v>
      </c>
      <c r="J119" s="8">
        <f t="shared" si="7"/>
        <v>368.79</v>
      </c>
      <c r="K119" s="9">
        <v>0.25750000000000001</v>
      </c>
      <c r="L119" s="10">
        <v>4.0999999999999996</v>
      </c>
    </row>
    <row r="120" spans="1:12" ht="15" customHeight="1" x14ac:dyDescent="0.3">
      <c r="A120" s="4" t="s">
        <v>178</v>
      </c>
      <c r="B120" s="5">
        <v>45972</v>
      </c>
      <c r="C120" s="4" t="s">
        <v>41</v>
      </c>
      <c r="D120" s="4" t="s">
        <v>35</v>
      </c>
      <c r="E120" s="4" t="s">
        <v>91</v>
      </c>
      <c r="F120" s="6">
        <v>5825.82</v>
      </c>
      <c r="G120" s="4">
        <v>9</v>
      </c>
      <c r="H120" s="7">
        <v>10</v>
      </c>
      <c r="I120" s="8">
        <f t="shared" si="6"/>
        <v>47189.14</v>
      </c>
      <c r="J120" s="8">
        <f t="shared" si="7"/>
        <v>7012.31</v>
      </c>
      <c r="K120" s="9">
        <v>0.14860000000000001</v>
      </c>
      <c r="L120" s="10">
        <v>4.9000000000000004</v>
      </c>
    </row>
    <row r="121" spans="1:12" ht="15" customHeight="1" x14ac:dyDescent="0.3">
      <c r="A121" s="4" t="s">
        <v>179</v>
      </c>
      <c r="B121" s="5">
        <v>46003</v>
      </c>
      <c r="C121" s="4" t="s">
        <v>34</v>
      </c>
      <c r="D121" s="4" t="s">
        <v>35</v>
      </c>
      <c r="E121" s="4" t="s">
        <v>39</v>
      </c>
      <c r="F121" s="6">
        <v>2884.26</v>
      </c>
      <c r="G121" s="4">
        <v>2</v>
      </c>
      <c r="H121" s="7">
        <v>10</v>
      </c>
      <c r="I121" s="8">
        <f t="shared" si="6"/>
        <v>5191.67</v>
      </c>
      <c r="J121" s="8">
        <f t="shared" si="7"/>
        <v>674.4</v>
      </c>
      <c r="K121" s="9">
        <v>0.12989999999999999</v>
      </c>
      <c r="L121" s="10">
        <v>4.2</v>
      </c>
    </row>
    <row r="122" spans="1:12" ht="14.4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7" customWidth="1"/>
    <col min="2" max="7" width="12" customWidth="1"/>
  </cols>
  <sheetData>
    <row r="1" spans="1:7" ht="15" customHeight="1" x14ac:dyDescent="0.3">
      <c r="A1" s="3" t="s">
        <v>180</v>
      </c>
      <c r="B1" s="3" t="s">
        <v>181</v>
      </c>
      <c r="C1" s="3" t="s">
        <v>182</v>
      </c>
      <c r="D1" s="3" t="s">
        <v>183</v>
      </c>
      <c r="E1" s="3" t="s">
        <v>184</v>
      </c>
      <c r="F1" s="3" t="s">
        <v>185</v>
      </c>
      <c r="G1" s="3" t="s">
        <v>186</v>
      </c>
    </row>
    <row r="2" spans="1:7" ht="15" customHeight="1" x14ac:dyDescent="0.3">
      <c r="A2" s="4" t="s">
        <v>27</v>
      </c>
      <c r="B2" s="4">
        <f>COUNT(Dataset!G2:G121)</f>
        <v>120</v>
      </c>
      <c r="C2" s="11">
        <f>AVERAGE(Dataset!G2:G121)</f>
        <v>5.7166666666666668</v>
      </c>
      <c r="D2" s="11">
        <f>MEDIAN(Dataset!G2:G121)</f>
        <v>6</v>
      </c>
      <c r="E2" s="11">
        <f>MIN(Dataset!G2:G121)</f>
        <v>1</v>
      </c>
      <c r="F2" s="11">
        <f>MAX(Dataset!G2:G121)</f>
        <v>10</v>
      </c>
      <c r="G2" s="11">
        <f>STDEV(Dataset!G2:G121)</f>
        <v>3.0546378385874116</v>
      </c>
    </row>
    <row r="3" spans="1:7" ht="15" customHeight="1" x14ac:dyDescent="0.3">
      <c r="A3" s="4" t="s">
        <v>28</v>
      </c>
      <c r="B3" s="4">
        <f>COUNT(Dataset!H2:H121)</f>
        <v>120</v>
      </c>
      <c r="C3" s="11">
        <f>AVERAGE(Dataset!H2:H121)</f>
        <v>7.416666666666667</v>
      </c>
      <c r="D3" s="11">
        <f>MEDIAN(Dataset!H2:H121)</f>
        <v>5</v>
      </c>
      <c r="E3" s="11">
        <f>MIN(Dataset!H2:H121)</f>
        <v>0</v>
      </c>
      <c r="F3" s="11">
        <f>MAX(Dataset!H2:H121)</f>
        <v>15</v>
      </c>
      <c r="G3" s="11">
        <f>STDEV(Dataset!H2:H121)</f>
        <v>5.4995543491464547</v>
      </c>
    </row>
    <row r="4" spans="1:7" ht="15" customHeight="1" x14ac:dyDescent="0.3">
      <c r="A4" s="4" t="s">
        <v>29</v>
      </c>
      <c r="B4" s="4">
        <f>COUNT(Dataset!I2:I121)</f>
        <v>120</v>
      </c>
      <c r="C4" s="11">
        <f>AVERAGE(Dataset!I2:I121)</f>
        <v>17590.527749999997</v>
      </c>
      <c r="D4" s="11">
        <f>MEDIAN(Dataset!I2:I121)</f>
        <v>10178.505000000001</v>
      </c>
      <c r="E4" s="11">
        <f>MIN(Dataset!I2:I121)</f>
        <v>465.35</v>
      </c>
      <c r="F4" s="11">
        <f>MAX(Dataset!I2:I121)</f>
        <v>61368.480000000003</v>
      </c>
      <c r="G4" s="11">
        <f>STDEV(Dataset!I2:I121)</f>
        <v>17091.955314245861</v>
      </c>
    </row>
    <row r="5" spans="1:7" ht="15" customHeight="1" x14ac:dyDescent="0.3">
      <c r="A5" s="4" t="s">
        <v>30</v>
      </c>
      <c r="B5" s="4">
        <f>COUNT(Dataset!J2:J121)</f>
        <v>120</v>
      </c>
      <c r="C5" s="11">
        <f>AVERAGE(Dataset!J2:J121)</f>
        <v>3868.3498333333346</v>
      </c>
      <c r="D5" s="11">
        <f>MEDIAN(Dataset!J2:J121)</f>
        <v>2140.915</v>
      </c>
      <c r="E5" s="11">
        <f>MIN(Dataset!J2:J121)</f>
        <v>86.13</v>
      </c>
      <c r="F5" s="11">
        <f>MAX(Dataset!J2:J121)</f>
        <v>16847.900000000001</v>
      </c>
      <c r="G5" s="11">
        <f>STDEV(Dataset!J2:J121)</f>
        <v>4053.8079996177266</v>
      </c>
    </row>
    <row r="6" spans="1:7" ht="15" customHeight="1" x14ac:dyDescent="0.3">
      <c r="A6" s="4" t="s">
        <v>32</v>
      </c>
      <c r="B6" s="4">
        <f>COUNT(Dataset!L2:L121)</f>
        <v>120</v>
      </c>
      <c r="C6" s="11">
        <f>AVERAGE(Dataset!L2:L121)</f>
        <v>4.3624999999999998</v>
      </c>
      <c r="D6" s="11">
        <f>MEDIAN(Dataset!L2:L121)</f>
        <v>4.4000000000000004</v>
      </c>
      <c r="E6" s="11">
        <f>MIN(Dataset!L2:L121)</f>
        <v>3.6</v>
      </c>
      <c r="F6" s="11">
        <f>MAX(Dataset!L2:L121)</f>
        <v>5</v>
      </c>
      <c r="G6" s="11">
        <f>STDEV(Dataset!L2:L121)</f>
        <v>0.39066039755584042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4" width="12" customWidth="1"/>
    <col min="5" max="6" width="13" customWidth="1"/>
    <col min="7" max="7" width="15" customWidth="1"/>
  </cols>
  <sheetData>
    <row r="1" spans="1:7" ht="15" customHeight="1" x14ac:dyDescent="0.3">
      <c r="A1" s="3" t="s">
        <v>187</v>
      </c>
      <c r="B1" s="3" t="s">
        <v>188</v>
      </c>
      <c r="C1" s="3" t="s">
        <v>189</v>
      </c>
      <c r="D1" s="3" t="s">
        <v>190</v>
      </c>
      <c r="E1" s="3" t="s">
        <v>191</v>
      </c>
      <c r="F1" s="3" t="s">
        <v>192</v>
      </c>
      <c r="G1" s="3" t="s">
        <v>193</v>
      </c>
    </row>
    <row r="2" spans="1:7" ht="15" customHeight="1" x14ac:dyDescent="0.3">
      <c r="A2" s="4" t="s">
        <v>29</v>
      </c>
      <c r="B2" s="11">
        <f>QUARTILE(Dataset!I2:I121,1)</f>
        <v>3610.3175000000001</v>
      </c>
      <c r="C2" s="11">
        <f>QUARTILE(Dataset!I2:I121,3)</f>
        <v>30286.657500000001</v>
      </c>
      <c r="D2" s="11">
        <f>C2-B2</f>
        <v>26676.34</v>
      </c>
      <c r="E2" s="11">
        <f>B2-(1.5*D2)</f>
        <v>-36404.192500000005</v>
      </c>
      <c r="F2" s="11">
        <f>C2+(1.5*D2)</f>
        <v>70301.16750000001</v>
      </c>
      <c r="G2" s="4">
        <f>COUNTIF(Dataset!I2:I121,"&gt;"&amp;F2)+COUNTIF(Dataset!I2:I121,"&lt;"&amp;E2)</f>
        <v>0</v>
      </c>
    </row>
    <row r="3" spans="1:7" ht="15" customHeight="1" x14ac:dyDescent="0.3">
      <c r="A3" s="4" t="s">
        <v>30</v>
      </c>
      <c r="B3" s="11">
        <f>QUARTILE(Dataset!J2:J121,1)</f>
        <v>743.46749999999997</v>
      </c>
      <c r="C3" s="11">
        <f>QUARTILE(Dataset!J2:J121,3)</f>
        <v>6367.8</v>
      </c>
      <c r="D3" s="11">
        <f>C3-B3</f>
        <v>5624.3325000000004</v>
      </c>
      <c r="E3" s="11">
        <f>B3-(1.5*D3)</f>
        <v>-7693.0312500000009</v>
      </c>
      <c r="F3" s="11">
        <f>C3+(1.5*D3)</f>
        <v>14804.298750000002</v>
      </c>
      <c r="G3" s="4">
        <f>COUNTIF(Dataset!J2:J121,"&gt;"&amp;F3)+COUNTIF(Dataset!J2:J121,"&lt;"&amp;E3)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3" width="12" customWidth="1"/>
    <col min="4" max="4" width="19" customWidth="1"/>
  </cols>
  <sheetData>
    <row r="1" spans="1:4" ht="15" customHeight="1" x14ac:dyDescent="0.3">
      <c r="A1" s="3" t="s">
        <v>21</v>
      </c>
      <c r="B1" s="3" t="s">
        <v>187</v>
      </c>
      <c r="C1" s="3" t="s">
        <v>194</v>
      </c>
      <c r="D1" s="3" t="s">
        <v>195</v>
      </c>
    </row>
    <row r="2" spans="1:4" ht="15" customHeight="1" x14ac:dyDescent="0.3">
      <c r="A2" s="4" t="s">
        <v>68</v>
      </c>
      <c r="B2" s="4" t="s">
        <v>30</v>
      </c>
      <c r="C2" s="8">
        <v>15821.26</v>
      </c>
      <c r="D2" s="4" t="s">
        <v>196</v>
      </c>
    </row>
    <row r="3" spans="1:4" ht="15" customHeight="1" x14ac:dyDescent="0.3">
      <c r="A3" s="4" t="s">
        <v>176</v>
      </c>
      <c r="B3" s="4" t="s">
        <v>30</v>
      </c>
      <c r="C3" s="8">
        <v>16847.900000000001</v>
      </c>
      <c r="D3" s="4" t="s">
        <v>196</v>
      </c>
    </row>
    <row r="4" spans="1:4" ht="15" customHeight="1" x14ac:dyDescent="0.3">
      <c r="A4" s="4"/>
      <c r="B4" s="4"/>
      <c r="C4" s="8"/>
      <c r="D4" s="4"/>
    </row>
    <row r="5" spans="1:4" ht="15" customHeight="1" x14ac:dyDescent="0.3">
      <c r="A5" s="4"/>
      <c r="B5" s="4"/>
      <c r="C5" s="8"/>
      <c r="D5" s="4"/>
    </row>
    <row r="6" spans="1:4" ht="15" customHeight="1" x14ac:dyDescent="0.3">
      <c r="A6" s="4"/>
      <c r="B6" s="4"/>
      <c r="C6" s="8"/>
      <c r="D6" s="4"/>
    </row>
    <row r="7" spans="1:4" ht="15" customHeight="1" x14ac:dyDescent="0.3">
      <c r="A7" s="4"/>
      <c r="B7" s="4"/>
      <c r="C7" s="8"/>
      <c r="D7" s="4"/>
    </row>
    <row r="8" spans="1:4" ht="15" customHeight="1" x14ac:dyDescent="0.3">
      <c r="A8" s="4"/>
      <c r="B8" s="4"/>
      <c r="C8" s="8"/>
      <c r="D8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2" customWidth="1"/>
    <col min="2" max="2" width="13" customWidth="1"/>
    <col min="3" max="3" width="14" customWidth="1"/>
    <col min="4" max="4" width="12" customWidth="1"/>
  </cols>
  <sheetData>
    <row r="1" spans="1:4" ht="15" customHeight="1" x14ac:dyDescent="0.3">
      <c r="A1" s="3" t="s">
        <v>197</v>
      </c>
      <c r="B1" s="3" t="s">
        <v>198</v>
      </c>
      <c r="C1" s="3" t="s">
        <v>199</v>
      </c>
      <c r="D1" s="3" t="s">
        <v>200</v>
      </c>
    </row>
    <row r="2" spans="1:4" ht="15" customHeight="1" x14ac:dyDescent="0.3">
      <c r="A2" s="4" t="s">
        <v>201</v>
      </c>
      <c r="B2" s="8">
        <f>SUMIFS(Dataset!$I$2:$I$121,Dataset!$B$2:$B$121,"&gt;="&amp;DATE(2025,1,1),Dataset!$B$2:$B$121,"&lt;"&amp;EDATE(DATE(2025,1,1),1))</f>
        <v>112703.29000000002</v>
      </c>
      <c r="C2" s="8">
        <f>SUMIFS(Dataset!$J$2:$J$121,Dataset!$B$2:$B$121,"&gt;="&amp;DATE(2025,1,1),Dataset!$B$2:$B$121,"&lt;"&amp;EDATE(DATE(2025,1,1),1))</f>
        <v>22007.77</v>
      </c>
      <c r="D2" s="4">
        <f>COUNTIFS(Dataset!$B$2:$B$121,"&gt;="&amp;DATE(2025,1,1),Dataset!$B$2:$B$121,"&lt;"&amp;EDATE(DATE(2025,1,1),1))</f>
        <v>10</v>
      </c>
    </row>
    <row r="3" spans="1:4" ht="15" customHeight="1" x14ac:dyDescent="0.3">
      <c r="A3" s="4" t="s">
        <v>202</v>
      </c>
      <c r="B3" s="8">
        <f>SUMIFS(Dataset!$I$2:$I$121,Dataset!$B$2:$B$121,"&gt;="&amp;DATE(2025,2,1),Dataset!$B$2:$B$121,"&lt;"&amp;EDATE(DATE(2025,2,1),1))</f>
        <v>102841.87</v>
      </c>
      <c r="C3" s="8">
        <f>SUMIFS(Dataset!$J$2:$J$121,Dataset!$B$2:$B$121,"&gt;="&amp;DATE(2025,2,1),Dataset!$B$2:$B$121,"&lt;"&amp;EDATE(DATE(2025,2,1),1))</f>
        <v>23842.449999999997</v>
      </c>
      <c r="D3" s="4">
        <f>COUNTIFS(Dataset!$B$2:$B$121,"&gt;="&amp;DATE(2025,2,1),Dataset!$B$2:$B$121,"&lt;"&amp;EDATE(DATE(2025,2,1),1))</f>
        <v>10</v>
      </c>
    </row>
    <row r="4" spans="1:4" ht="15" customHeight="1" x14ac:dyDescent="0.3">
      <c r="A4" s="4" t="s">
        <v>203</v>
      </c>
      <c r="B4" s="8">
        <f>SUMIFS(Dataset!$I$2:$I$121,Dataset!$B$2:$B$121,"&gt;="&amp;DATE(2025,3,1),Dataset!$B$2:$B$121,"&lt;"&amp;EDATE(DATE(2025,3,1),1))</f>
        <v>169393.91000000003</v>
      </c>
      <c r="C4" s="8">
        <f>SUMIFS(Dataset!$J$2:$J$121,Dataset!$B$2:$B$121,"&gt;="&amp;DATE(2025,3,1),Dataset!$B$2:$B$121,"&lt;"&amp;EDATE(DATE(2025,3,1),1))</f>
        <v>30751.86</v>
      </c>
      <c r="D4" s="4">
        <f>COUNTIFS(Dataset!$B$2:$B$121,"&gt;="&amp;DATE(2025,3,1),Dataset!$B$2:$B$121,"&lt;"&amp;EDATE(DATE(2025,3,1),1))</f>
        <v>10</v>
      </c>
    </row>
    <row r="5" spans="1:4" ht="15" customHeight="1" x14ac:dyDescent="0.3">
      <c r="A5" s="4" t="s">
        <v>204</v>
      </c>
      <c r="B5" s="8">
        <f>SUMIFS(Dataset!$I$2:$I$121,Dataset!$B$2:$B$121,"&gt;="&amp;DATE(2025,4,1),Dataset!$B$2:$B$121,"&lt;"&amp;EDATE(DATE(2025,4,1),1))</f>
        <v>184867.88999999998</v>
      </c>
      <c r="C5" s="8">
        <f>SUMIFS(Dataset!$J$2:$J$121,Dataset!$B$2:$B$121,"&gt;="&amp;DATE(2025,4,1),Dataset!$B$2:$B$121,"&lt;"&amp;EDATE(DATE(2025,4,1),1))</f>
        <v>40249.19999999999</v>
      </c>
      <c r="D5" s="4">
        <f>COUNTIFS(Dataset!$B$2:$B$121,"&gt;="&amp;DATE(2025,4,1),Dataset!$B$2:$B$121,"&lt;"&amp;EDATE(DATE(2025,4,1),1))</f>
        <v>10</v>
      </c>
    </row>
    <row r="6" spans="1:4" ht="15" customHeight="1" x14ac:dyDescent="0.3">
      <c r="A6" s="4" t="s">
        <v>205</v>
      </c>
      <c r="B6" s="8">
        <f>SUMIFS(Dataset!$I$2:$I$121,Dataset!$B$2:$B$121,"&gt;="&amp;DATE(2025,5,1),Dataset!$B$2:$B$121,"&lt;"&amp;EDATE(DATE(2025,5,1),1))</f>
        <v>236490.88999999998</v>
      </c>
      <c r="C6" s="8">
        <f>SUMIFS(Dataset!$J$2:$J$121,Dataset!$B$2:$B$121,"&gt;="&amp;DATE(2025,5,1),Dataset!$B$2:$B$121,"&lt;"&amp;EDATE(DATE(2025,5,1),1))</f>
        <v>54576.78</v>
      </c>
      <c r="D6" s="4">
        <f>COUNTIFS(Dataset!$B$2:$B$121,"&gt;="&amp;DATE(2025,5,1),Dataset!$B$2:$B$121,"&lt;"&amp;EDATE(DATE(2025,5,1),1))</f>
        <v>10</v>
      </c>
    </row>
    <row r="7" spans="1:4" ht="15" customHeight="1" x14ac:dyDescent="0.3">
      <c r="A7" s="4" t="s">
        <v>206</v>
      </c>
      <c r="B7" s="8">
        <f>SUMIFS(Dataset!$I$2:$I$121,Dataset!$B$2:$B$121,"&gt;="&amp;DATE(2025,6,1),Dataset!$B$2:$B$121,"&lt;"&amp;EDATE(DATE(2025,6,1),1))</f>
        <v>62313.470000000008</v>
      </c>
      <c r="C7" s="8">
        <f>SUMIFS(Dataset!$J$2:$J$121,Dataset!$B$2:$B$121,"&gt;="&amp;DATE(2025,6,1),Dataset!$B$2:$B$121,"&lt;"&amp;EDATE(DATE(2025,6,1),1))</f>
        <v>17457.27</v>
      </c>
      <c r="D7" s="4">
        <f>COUNTIFS(Dataset!$B$2:$B$121,"&gt;="&amp;DATE(2025,6,1),Dataset!$B$2:$B$121,"&lt;"&amp;EDATE(DATE(2025,6,1),1))</f>
        <v>10</v>
      </c>
    </row>
    <row r="8" spans="1:4" ht="15" customHeight="1" x14ac:dyDescent="0.3">
      <c r="A8" s="4" t="s">
        <v>207</v>
      </c>
      <c r="B8" s="8">
        <f>SUMIFS(Dataset!$I$2:$I$121,Dataset!$B$2:$B$121,"&gt;="&amp;DATE(2025,7,1),Dataset!$B$2:$B$121,"&lt;"&amp;EDATE(DATE(2025,7,1),1))</f>
        <v>134879.75999999998</v>
      </c>
      <c r="C8" s="8">
        <f>SUMIFS(Dataset!$J$2:$J$121,Dataset!$B$2:$B$121,"&gt;="&amp;DATE(2025,7,1),Dataset!$B$2:$B$121,"&lt;"&amp;EDATE(DATE(2025,7,1),1))</f>
        <v>23673.35</v>
      </c>
      <c r="D8" s="4">
        <f>COUNTIFS(Dataset!$B$2:$B$121,"&gt;="&amp;DATE(2025,7,1),Dataset!$B$2:$B$121,"&lt;"&amp;EDATE(DATE(2025,7,1),1))</f>
        <v>10</v>
      </c>
    </row>
    <row r="9" spans="1:4" ht="15" customHeight="1" x14ac:dyDescent="0.3">
      <c r="A9" s="4" t="s">
        <v>208</v>
      </c>
      <c r="B9" s="8">
        <f>SUMIFS(Dataset!$I$2:$I$121,Dataset!$B$2:$B$121,"&gt;="&amp;DATE(2025,8,1),Dataset!$B$2:$B$121,"&lt;"&amp;EDATE(DATE(2025,8,1),1))</f>
        <v>278884.46000000002</v>
      </c>
      <c r="C9" s="8">
        <f>SUMIFS(Dataset!$J$2:$J$121,Dataset!$B$2:$B$121,"&gt;="&amp;DATE(2025,8,1),Dataset!$B$2:$B$121,"&lt;"&amp;EDATE(DATE(2025,8,1),1))</f>
        <v>64398.73</v>
      </c>
      <c r="D9" s="4">
        <f>COUNTIFS(Dataset!$B$2:$B$121,"&gt;="&amp;DATE(2025,8,1),Dataset!$B$2:$B$121,"&lt;"&amp;EDATE(DATE(2025,8,1),1))</f>
        <v>10</v>
      </c>
    </row>
    <row r="10" spans="1:4" ht="15" customHeight="1" x14ac:dyDescent="0.3">
      <c r="A10" s="4" t="s">
        <v>209</v>
      </c>
      <c r="B10" s="8">
        <f>SUMIFS(Dataset!$I$2:$I$121,Dataset!$B$2:$B$121,"&gt;="&amp;DATE(2025,9,1),Dataset!$B$2:$B$121,"&lt;"&amp;EDATE(DATE(2025,9,1),1))</f>
        <v>215608.97999999998</v>
      </c>
      <c r="C10" s="8">
        <f>SUMIFS(Dataset!$J$2:$J$121,Dataset!$B$2:$B$121,"&gt;="&amp;DATE(2025,9,1),Dataset!$B$2:$B$121,"&lt;"&amp;EDATE(DATE(2025,9,1),1))</f>
        <v>58346.69</v>
      </c>
      <c r="D10" s="4">
        <f>COUNTIFS(Dataset!$B$2:$B$121,"&gt;="&amp;DATE(2025,9,1),Dataset!$B$2:$B$121,"&lt;"&amp;EDATE(DATE(2025,9,1),1))</f>
        <v>10</v>
      </c>
    </row>
    <row r="11" spans="1:4" ht="15" customHeight="1" x14ac:dyDescent="0.3">
      <c r="A11" s="4" t="s">
        <v>210</v>
      </c>
      <c r="B11" s="8">
        <f>SUMIFS(Dataset!$I$2:$I$121,Dataset!$B$2:$B$121,"&gt;="&amp;DATE(2025,10,1),Dataset!$B$2:$B$121,"&lt;"&amp;EDATE(DATE(2025,10,1),1))</f>
        <v>190640.23</v>
      </c>
      <c r="C11" s="8">
        <f>SUMIFS(Dataset!$J$2:$J$121,Dataset!$B$2:$B$121,"&gt;="&amp;DATE(2025,10,1),Dataset!$B$2:$B$121,"&lt;"&amp;EDATE(DATE(2025,10,1),1))</f>
        <v>48642.859999999993</v>
      </c>
      <c r="D11" s="4">
        <f>COUNTIFS(Dataset!$B$2:$B$121,"&gt;="&amp;DATE(2025,10,1),Dataset!$B$2:$B$121,"&lt;"&amp;EDATE(DATE(2025,10,1),1))</f>
        <v>10</v>
      </c>
    </row>
    <row r="12" spans="1:4" ht="15" customHeight="1" x14ac:dyDescent="0.3">
      <c r="A12" s="4" t="s">
        <v>211</v>
      </c>
      <c r="B12" s="8">
        <f>SUMIFS(Dataset!$I$2:$I$121,Dataset!$B$2:$B$121,"&gt;="&amp;DATE(2025,11,1),Dataset!$B$2:$B$121,"&lt;"&amp;EDATE(DATE(2025,11,1),1))</f>
        <v>202287.55</v>
      </c>
      <c r="C12" s="8">
        <f>SUMIFS(Dataset!$J$2:$J$121,Dataset!$B$2:$B$121,"&gt;="&amp;DATE(2025,11,1),Dataset!$B$2:$B$121,"&lt;"&amp;EDATE(DATE(2025,11,1),1))</f>
        <v>32715.070000000007</v>
      </c>
      <c r="D12" s="4">
        <f>COUNTIFS(Dataset!$B$2:$B$121,"&gt;="&amp;DATE(2025,11,1),Dataset!$B$2:$B$121,"&lt;"&amp;EDATE(DATE(2025,11,1),1))</f>
        <v>10</v>
      </c>
    </row>
    <row r="13" spans="1:4" ht="15" customHeight="1" x14ac:dyDescent="0.3">
      <c r="A13" s="4" t="s">
        <v>212</v>
      </c>
      <c r="B13" s="8">
        <f>SUMIFS(Dataset!$I$2:$I$121,Dataset!$B$2:$B$121,"&gt;="&amp;DATE(2025,12,1),Dataset!$B$2:$B$121,"&lt;"&amp;EDATE(DATE(2025,12,1),1))</f>
        <v>219951.03000000003</v>
      </c>
      <c r="C13" s="8">
        <f>SUMIFS(Dataset!$J$2:$J$121,Dataset!$B$2:$B$121,"&gt;="&amp;DATE(2025,12,1),Dataset!$B$2:$B$121,"&lt;"&amp;EDATE(DATE(2025,12,1),1))</f>
        <v>47539.950000000004</v>
      </c>
      <c r="D13" s="4">
        <f>COUNTIFS(Dataset!$B$2:$B$121,"&gt;="&amp;DATE(2025,12,1),Dataset!$B$2:$B$121,"&lt;"&amp;EDATE(DATE(2025,12,1),1))</f>
        <v>10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7" customWidth="1"/>
    <col min="2" max="2" width="12" customWidth="1"/>
    <col min="3" max="3" width="13" customWidth="1"/>
    <col min="4" max="4" width="14" customWidth="1"/>
    <col min="5" max="6" width="12" customWidth="1"/>
  </cols>
  <sheetData>
    <row r="1" spans="1:6" ht="15" customHeight="1" x14ac:dyDescent="0.3">
      <c r="A1" s="3" t="s">
        <v>24</v>
      </c>
      <c r="B1" s="3" t="s">
        <v>200</v>
      </c>
      <c r="C1" s="3" t="s">
        <v>198</v>
      </c>
      <c r="D1" s="3" t="s">
        <v>199</v>
      </c>
      <c r="E1" s="3" t="s">
        <v>213</v>
      </c>
      <c r="F1" s="3" t="s">
        <v>214</v>
      </c>
    </row>
    <row r="2" spans="1:6" ht="15" customHeight="1" x14ac:dyDescent="0.3">
      <c r="A2" s="4" t="s">
        <v>35</v>
      </c>
      <c r="B2" s="4">
        <f>COUNTIF(Dataset!$D$2:$D$121,A2)</f>
        <v>43</v>
      </c>
      <c r="C2" s="8">
        <f>SUMIF(Dataset!$D$2:$D$121,A2,Dataset!$I$2:$I$121)</f>
        <v>922403.20000000019</v>
      </c>
      <c r="D2" s="8">
        <f>SUMIF(Dataset!$D$2:$D$121,A2,Dataset!$J$2:$J$121)</f>
        <v>196405.80000000005</v>
      </c>
      <c r="E2" s="8">
        <f>AVERAGEIF(Dataset!$D$2:$D$121,A2,Dataset!$I$2:$I$121)</f>
        <v>21451.23720930233</v>
      </c>
      <c r="F2" s="4">
        <f>AVERAGEIF(Dataset!$D$2:$D$121,A2,Dataset!$L$2:$L$121)</f>
        <v>4.3674418604651155</v>
      </c>
    </row>
    <row r="3" spans="1:6" ht="15" customHeight="1" x14ac:dyDescent="0.3">
      <c r="A3" s="4" t="s">
        <v>42</v>
      </c>
      <c r="B3" s="4">
        <f>COUNTIF(Dataset!$D$2:$D$121,A3)</f>
        <v>47</v>
      </c>
      <c r="C3" s="8">
        <f>SUMIF(Dataset!$D$2:$D$121,A3,Dataset!$I$2:$I$121)</f>
        <v>988916.47999999986</v>
      </c>
      <c r="D3" s="8">
        <f>SUMIF(Dataset!$D$2:$D$121,A3,Dataset!$J$2:$J$121)</f>
        <v>223693.08</v>
      </c>
      <c r="E3" s="8">
        <f>AVERAGEIF(Dataset!$D$2:$D$121,A3,Dataset!$I$2:$I$121)</f>
        <v>21040.776170212765</v>
      </c>
      <c r="F3" s="4">
        <f>AVERAGEIF(Dataset!$D$2:$D$121,A3,Dataset!$L$2:$L$121)</f>
        <v>4.3127659574468087</v>
      </c>
    </row>
    <row r="4" spans="1:6" ht="15" customHeight="1" x14ac:dyDescent="0.3">
      <c r="A4" s="4" t="s">
        <v>48</v>
      </c>
      <c r="B4" s="4">
        <f>COUNTIF(Dataset!$D$2:$D$121,A4)</f>
        <v>30</v>
      </c>
      <c r="C4" s="8">
        <f>SUMIF(Dataset!$D$2:$D$121,A4,Dataset!$I$2:$I$121)</f>
        <v>199543.64999999997</v>
      </c>
      <c r="D4" s="8">
        <f>SUMIF(Dataset!$D$2:$D$121,A4,Dataset!$J$2:$J$121)</f>
        <v>44103.100000000006</v>
      </c>
      <c r="E4" s="8">
        <f>AVERAGEIF(Dataset!$D$2:$D$121,A4,Dataset!$I$2:$I$121)</f>
        <v>6651.454999999999</v>
      </c>
      <c r="F4" s="4">
        <f>AVERAGEIF(Dataset!$D$2:$D$121,A4,Dataset!$L$2:$L$121)</f>
        <v>4.4333333333333336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2" width="12" customWidth="1"/>
    <col min="3" max="3" width="13" customWidth="1"/>
    <col min="4" max="4" width="14" customWidth="1"/>
  </cols>
  <sheetData>
    <row r="1" spans="1:4" ht="15" customHeight="1" x14ac:dyDescent="0.3">
      <c r="A1" s="3" t="s">
        <v>23</v>
      </c>
      <c r="B1" s="3" t="s">
        <v>200</v>
      </c>
      <c r="C1" s="3" t="s">
        <v>198</v>
      </c>
      <c r="D1" s="3" t="s">
        <v>199</v>
      </c>
    </row>
    <row r="2" spans="1:4" ht="15" customHeight="1" x14ac:dyDescent="0.3">
      <c r="A2" s="4" t="s">
        <v>34</v>
      </c>
      <c r="B2" s="4">
        <f>COUNTIF(Dataset!$C$2:$C$121,A2)</f>
        <v>18</v>
      </c>
      <c r="C2" s="8">
        <f>SUMIF(Dataset!$C$2:$C$121,A2,Dataset!$I$2:$I$121)</f>
        <v>309872.95000000007</v>
      </c>
      <c r="D2" s="8">
        <f>SUMIF(Dataset!$C$2:$C$121,A2,Dataset!$J$2:$J$121)</f>
        <v>66105.89</v>
      </c>
    </row>
    <row r="3" spans="1:4" ht="15" customHeight="1" x14ac:dyDescent="0.3">
      <c r="A3" s="4" t="s">
        <v>38</v>
      </c>
      <c r="B3" s="4">
        <f>COUNTIF(Dataset!$C$2:$C$121,A3)</f>
        <v>15</v>
      </c>
      <c r="C3" s="8">
        <f>SUMIF(Dataset!$C$2:$C$121,A3,Dataset!$I$2:$I$121)</f>
        <v>350945.17</v>
      </c>
      <c r="D3" s="8">
        <f>SUMIF(Dataset!$C$2:$C$121,A3,Dataset!$J$2:$J$121)</f>
        <v>73013.909999999989</v>
      </c>
    </row>
    <row r="4" spans="1:4" ht="15" customHeight="1" x14ac:dyDescent="0.3">
      <c r="A4" s="4" t="s">
        <v>51</v>
      </c>
      <c r="B4" s="4">
        <f>COUNTIF(Dataset!$C$2:$C$121,A4)</f>
        <v>27</v>
      </c>
      <c r="C4" s="8">
        <f>SUMIF(Dataset!$C$2:$C$121,A4,Dataset!$I$2:$I$121)</f>
        <v>351543.08</v>
      </c>
      <c r="D4" s="8">
        <f>SUMIF(Dataset!$C$2:$C$121,A4,Dataset!$J$2:$J$121)</f>
        <v>77787.579999999987</v>
      </c>
    </row>
    <row r="5" spans="1:4" ht="15" customHeight="1" x14ac:dyDescent="0.3">
      <c r="A5" s="4" t="s">
        <v>59</v>
      </c>
      <c r="B5" s="4">
        <f>COUNTIF(Dataset!$C$2:$C$121,A5)</f>
        <v>21</v>
      </c>
      <c r="C5" s="8">
        <f>SUMIF(Dataset!$C$2:$C$121,A5,Dataset!$I$2:$I$121)</f>
        <v>210841.26</v>
      </c>
      <c r="D5" s="8">
        <f>SUMIF(Dataset!$C$2:$C$121,A5,Dataset!$J$2:$J$121)</f>
        <v>46065.289999999994</v>
      </c>
    </row>
    <row r="6" spans="1:4" ht="15" customHeight="1" x14ac:dyDescent="0.3">
      <c r="A6" s="4" t="s">
        <v>41</v>
      </c>
      <c r="B6" s="4">
        <f>COUNTIF(Dataset!$C$2:$C$121,A6)</f>
        <v>15</v>
      </c>
      <c r="C6" s="8">
        <f>SUMIF(Dataset!$C$2:$C$121,A6,Dataset!$I$2:$I$121)</f>
        <v>321216.54999999993</v>
      </c>
      <c r="D6" s="8">
        <f>SUMIF(Dataset!$C$2:$C$121,A6,Dataset!$J$2:$J$121)</f>
        <v>73080.289999999994</v>
      </c>
    </row>
    <row r="7" spans="1:4" ht="15" customHeight="1" x14ac:dyDescent="0.3">
      <c r="A7" s="4" t="s">
        <v>54</v>
      </c>
      <c r="B7" s="4">
        <f>COUNTIF(Dataset!$C$2:$C$121,A7)</f>
        <v>24</v>
      </c>
      <c r="C7" s="8">
        <f>SUMIF(Dataset!$C$2:$C$121,A7,Dataset!$I$2:$I$121)</f>
        <v>566444.32000000018</v>
      </c>
      <c r="D7" s="8">
        <f>SUMIF(Dataset!$C$2:$C$121,A7,Dataset!$J$2:$J$121)</f>
        <v>128149.02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5" customHeight="1" x14ac:dyDescent="0.3"/>
  <cols>
    <col min="1" max="1" width="17" customWidth="1"/>
    <col min="2" max="5" width="12" customWidth="1"/>
    <col min="6" max="6" width="17" customWidth="1"/>
  </cols>
  <sheetData>
    <row r="1" spans="1:6" ht="15" customHeight="1" x14ac:dyDescent="0.3">
      <c r="A1" s="3"/>
      <c r="B1" s="3" t="s">
        <v>27</v>
      </c>
      <c r="C1" s="3" t="s">
        <v>28</v>
      </c>
      <c r="D1" s="3" t="s">
        <v>29</v>
      </c>
      <c r="E1" s="3" t="s">
        <v>30</v>
      </c>
      <c r="F1" s="3" t="s">
        <v>32</v>
      </c>
    </row>
    <row r="2" spans="1:6" ht="15" customHeight="1" x14ac:dyDescent="0.3">
      <c r="A2" s="12" t="s">
        <v>27</v>
      </c>
      <c r="B2" s="4">
        <f>CORREL(Dataset!$G$2:$G$121,Dataset!$G$2:$G$121)</f>
        <v>1</v>
      </c>
      <c r="C2" s="4">
        <f>CORREL(Dataset!$G$2:$G$121,Dataset!$H$2:$H$121)</f>
        <v>-0.12897480396694916</v>
      </c>
      <c r="D2" s="4">
        <f>CORREL(Dataset!$G$2:$G$121,Dataset!$I$2:$I$121)</f>
        <v>0.66081414666338489</v>
      </c>
      <c r="E2" s="4">
        <f>CORREL(Dataset!$G$2:$G$121,Dataset!$J$2:$J$121)</f>
        <v>0.60384826192993313</v>
      </c>
      <c r="F2" s="4">
        <f>CORREL(Dataset!$G$2:$G$121,Dataset!$L$2:$L$121)</f>
        <v>1.9893553943797382E-2</v>
      </c>
    </row>
    <row r="3" spans="1:6" ht="15" customHeight="1" x14ac:dyDescent="0.3">
      <c r="A3" s="12" t="s">
        <v>28</v>
      </c>
      <c r="B3" s="4">
        <f>CORREL(Dataset!$H$2:$H$121,Dataset!$G$2:$G$121)</f>
        <v>-0.12897480396694916</v>
      </c>
      <c r="C3" s="4">
        <f>CORREL(Dataset!$H$2:$H$121,Dataset!$H$2:$H$121)</f>
        <v>1.0000000000000002</v>
      </c>
      <c r="D3" s="4">
        <f>CORREL(Dataset!$H$2:$H$121,Dataset!$I$2:$I$121)</f>
        <v>-0.27092208601694423</v>
      </c>
      <c r="E3" s="4">
        <f>CORREL(Dataset!$H$2:$H$121,Dataset!$J$2:$J$121)</f>
        <v>-0.2673622400040897</v>
      </c>
      <c r="F3" s="4">
        <f>CORREL(Dataset!$H$2:$H$121,Dataset!$L$2:$L$121)</f>
        <v>5.4269915379798764E-2</v>
      </c>
    </row>
    <row r="4" spans="1:6" ht="15" customHeight="1" x14ac:dyDescent="0.3">
      <c r="A4" s="12" t="s">
        <v>29</v>
      </c>
      <c r="B4" s="4">
        <f>CORREL(Dataset!$I$2:$I$121,Dataset!$G$2:$G$121)</f>
        <v>0.66081414666338489</v>
      </c>
      <c r="C4" s="4">
        <f>CORREL(Dataset!$I$2:$I$121,Dataset!$H$2:$H$121)</f>
        <v>-0.27092208601694423</v>
      </c>
      <c r="D4" s="4">
        <f>CORREL(Dataset!$I$2:$I$121,Dataset!$I$2:$I$121)</f>
        <v>1.0000000000000002</v>
      </c>
      <c r="E4" s="4">
        <f>CORREL(Dataset!$I$2:$I$121,Dataset!$J$2:$J$121)</f>
        <v>0.93111676605543003</v>
      </c>
      <c r="F4" s="4">
        <f>CORREL(Dataset!$I$2:$I$121,Dataset!$L$2:$L$121)</f>
        <v>-7.622637092027966E-2</v>
      </c>
    </row>
    <row r="5" spans="1:6" ht="15" customHeight="1" x14ac:dyDescent="0.3">
      <c r="A5" s="12" t="s">
        <v>30</v>
      </c>
      <c r="B5" s="4">
        <f>CORREL(Dataset!$J$2:$J$121,Dataset!$G$2:$G$121)</f>
        <v>0.60384826192993313</v>
      </c>
      <c r="C5" s="4">
        <f>CORREL(Dataset!$J$2:$J$121,Dataset!$H$2:$H$121)</f>
        <v>-0.2673622400040897</v>
      </c>
      <c r="D5" s="4">
        <f>CORREL(Dataset!$J$2:$J$121,Dataset!$I$2:$I$121)</f>
        <v>0.93111676605543003</v>
      </c>
      <c r="E5" s="4">
        <f>CORREL(Dataset!$J$2:$J$121,Dataset!$J$2:$J$121)</f>
        <v>1</v>
      </c>
      <c r="F5" s="4">
        <f>CORREL(Dataset!$J$2:$J$121,Dataset!$L$2:$L$121)</f>
        <v>-5.3494943476732844E-2</v>
      </c>
    </row>
    <row r="6" spans="1:6" ht="15" customHeight="1" x14ac:dyDescent="0.3">
      <c r="A6" s="12" t="s">
        <v>32</v>
      </c>
      <c r="B6" s="4">
        <f>CORREL(Dataset!$L$2:$L$121,Dataset!$G$2:$G$121)</f>
        <v>1.9893553943797382E-2</v>
      </c>
      <c r="C6" s="4">
        <f>CORREL(Dataset!$L$2:$L$121,Dataset!$H$2:$H$121)</f>
        <v>5.4269915379798764E-2</v>
      </c>
      <c r="D6" s="4">
        <f>CORREL(Dataset!$L$2:$L$121,Dataset!$I$2:$I$121)</f>
        <v>-7.622637092027966E-2</v>
      </c>
      <c r="E6" s="4">
        <f>CORREL(Dataset!$L$2:$L$121,Dataset!$J$2:$J$121)</f>
        <v>-5.3494943476732844E-2</v>
      </c>
      <c r="F6" s="4">
        <f>CORREL(Dataset!$L$2:$L$121,Dataset!$L$2:$L$121)</f>
        <v>1</v>
      </c>
    </row>
  </sheetData>
  <conditionalFormatting sqref="B2:F6">
    <cfRule type="colorScale" priority="2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tabSelected="1" zoomScaleNormal="100" workbookViewId="0">
      <pane ySplit="1" topLeftCell="A2" activePane="bottomLeft" state="frozen"/>
      <selection pane="bottomLeft" activeCell="G13" sqref="G13"/>
    </sheetView>
  </sheetViews>
  <sheetFormatPr defaultColWidth="8.6640625" defaultRowHeight="15" customHeight="1" x14ac:dyDescent="0.3"/>
  <cols>
    <col min="1" max="1" width="8" customWidth="1"/>
    <col min="2" max="2" width="100" customWidth="1"/>
  </cols>
  <sheetData>
    <row r="1" spans="1:2" ht="15" customHeight="1" x14ac:dyDescent="0.3">
      <c r="A1" s="16" t="s">
        <v>215</v>
      </c>
      <c r="B1" s="15"/>
    </row>
    <row r="2" spans="1:2" ht="15" customHeight="1" x14ac:dyDescent="0.3">
      <c r="A2" s="14" t="s">
        <v>216</v>
      </c>
      <c r="B2" s="15"/>
    </row>
    <row r="3" spans="1:2" ht="15" customHeight="1" x14ac:dyDescent="0.3">
      <c r="A3" s="14" t="s">
        <v>217</v>
      </c>
      <c r="B3" s="15"/>
    </row>
    <row r="5" spans="1:2" ht="15" customHeight="1" x14ac:dyDescent="0.3">
      <c r="A5" s="3" t="s">
        <v>218</v>
      </c>
      <c r="B5" s="3" t="s">
        <v>219</v>
      </c>
    </row>
    <row r="6" spans="1:2" ht="15" customHeight="1" x14ac:dyDescent="0.3">
      <c r="A6" s="4" t="s">
        <v>220</v>
      </c>
      <c r="B6" s="4" t="s">
        <v>221</v>
      </c>
    </row>
    <row r="7" spans="1:2" ht="15" customHeight="1" x14ac:dyDescent="0.3">
      <c r="A7" s="4" t="s">
        <v>222</v>
      </c>
      <c r="B7" s="4" t="s">
        <v>223</v>
      </c>
    </row>
    <row r="8" spans="1:2" ht="15" customHeight="1" x14ac:dyDescent="0.3">
      <c r="A8" s="4" t="s">
        <v>224</v>
      </c>
      <c r="B8" s="4" t="s">
        <v>225</v>
      </c>
    </row>
    <row r="9" spans="1:2" ht="15" customHeight="1" x14ac:dyDescent="0.3">
      <c r="A9" s="4" t="s">
        <v>226</v>
      </c>
      <c r="B9" s="4" t="s">
        <v>227</v>
      </c>
    </row>
    <row r="10" spans="1:2" ht="15" customHeight="1" x14ac:dyDescent="0.3">
      <c r="A10" s="4" t="s">
        <v>228</v>
      </c>
      <c r="B10" s="4" t="s">
        <v>229</v>
      </c>
    </row>
    <row r="11" spans="1:2" ht="15" customHeight="1" x14ac:dyDescent="0.3">
      <c r="A11" s="4" t="s">
        <v>230</v>
      </c>
      <c r="B11" s="4" t="s">
        <v>231</v>
      </c>
    </row>
    <row r="12" spans="1:2" ht="15" customHeight="1" x14ac:dyDescent="0.3">
      <c r="A12" s="4" t="s">
        <v>232</v>
      </c>
      <c r="B12" s="4" t="s">
        <v>233</v>
      </c>
    </row>
    <row r="13" spans="1:2" ht="15" customHeight="1" x14ac:dyDescent="0.3">
      <c r="A13" s="4"/>
      <c r="B13" s="4"/>
    </row>
    <row r="14" spans="1:2" ht="15" customHeight="1" x14ac:dyDescent="0.3">
      <c r="A14" s="4"/>
      <c r="B14" s="4"/>
    </row>
    <row r="15" spans="1:2" ht="15" customHeight="1" x14ac:dyDescent="0.3">
      <c r="A15" s="13" t="s">
        <v>218</v>
      </c>
      <c r="B15" s="13"/>
    </row>
    <row r="16" spans="1:2" ht="15" customHeight="1" x14ac:dyDescent="0.3">
      <c r="A16" s="4" t="s">
        <v>220</v>
      </c>
      <c r="B16" s="4" t="s">
        <v>234</v>
      </c>
    </row>
    <row r="17" spans="1:2" ht="14.4" x14ac:dyDescent="0.3">
      <c r="A17" s="4" t="s">
        <v>222</v>
      </c>
      <c r="B17" s="4" t="s">
        <v>235</v>
      </c>
    </row>
    <row r="18" spans="1:2" ht="14.4" x14ac:dyDescent="0.3">
      <c r="A18" s="4" t="s">
        <v>224</v>
      </c>
      <c r="B18" s="4" t="s">
        <v>236</v>
      </c>
    </row>
    <row r="19" spans="1:2" ht="14.4" x14ac:dyDescent="0.3">
      <c r="A19" s="4" t="s">
        <v>226</v>
      </c>
      <c r="B19" s="4" t="s">
        <v>237</v>
      </c>
    </row>
    <row r="20" spans="1:2" ht="14.4" x14ac:dyDescent="0.3">
      <c r="A20" s="4" t="s">
        <v>228</v>
      </c>
      <c r="B20" s="4" t="s">
        <v>238</v>
      </c>
    </row>
    <row r="21" spans="1:2" ht="14.4" x14ac:dyDescent="0.3">
      <c r="B21" t="s">
        <v>239</v>
      </c>
    </row>
  </sheetData>
  <mergeCells count="3">
    <mergeCell ref="A3:B3"/>
    <mergeCell ref="A2:B2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Dataset</vt:lpstr>
      <vt:lpstr>Basic Statistics</vt:lpstr>
      <vt:lpstr>Outlier Summary</vt:lpstr>
      <vt:lpstr>Outliers</vt:lpstr>
      <vt:lpstr>Monthly Trend</vt:lpstr>
      <vt:lpstr>Category Analysis</vt:lpstr>
      <vt:lpstr>City Analysis</vt:lpstr>
      <vt:lpstr>Correlation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niralichauhan2610@outlook.com</cp:lastModifiedBy>
  <cp:revision>0</cp:revision>
  <dcterms:created xsi:type="dcterms:W3CDTF">2026-09-02T08:42:48Z</dcterms:created>
  <dcterms:modified xsi:type="dcterms:W3CDTF">2026-09-10T11:35:49Z</dcterms:modified>
  <dc:language>en-US</dc:language>
</cp:coreProperties>
</file>